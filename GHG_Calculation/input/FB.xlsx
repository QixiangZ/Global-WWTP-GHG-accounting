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5" r:id="rId1"/>
  </sheets>
  <definedNames>
    <definedName name="_xlnm._FilterDatabase" localSheetId="0" hidden="1">Sheet1!$A$1:$B$24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<sst xmlns="http://schemas.openxmlformats.org/spreadsheetml/2006/main" count="25" uniqueCount="9">
  <si>
    <t>Type</t>
  </si>
  <si>
    <t>FB</t>
  </si>
  <si>
    <t>CAS</t>
  </si>
  <si>
    <t>MLE</t>
  </si>
  <si>
    <t>A2O</t>
  </si>
  <si>
    <t>OD</t>
  </si>
  <si>
    <t>BNR</t>
  </si>
  <si>
    <t>AO</t>
  </si>
  <si>
    <t>SBR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</si>
</sst>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F5" sqref="F5"/>
    </sheetView>
  </sheetViews>
  <sheetFormatPr defaultColWidth="9" defaultRowHeight="13.5" outlineLevelCol="1"/>
  <cols>
    <col min="1" max="1" width="9" style="1"/>
    <col min="2" max="2" width="14.125" style="1"/>
    <col min="3" max="3" width="9" style="1"/>
  </cols>
  <sheetData>
    <row r="1" spans="1:2">
      <c r="A1" s="2" t="s">
        <v>0</v>
      </c>
      <c r="B1" s="2" t="s">
        <v>1</v>
      </c>
    </row>
    <row r="2" ht="15" spans="1:2">
      <c r="A2" s="2" t="s">
        <v>2</v>
      </c>
      <c r="B2" s="3">
        <v>0.81</v>
      </c>
    </row>
    <row r="3" ht="15" spans="1:2">
      <c r="A3" s="2" t="s">
        <v>2</v>
      </c>
      <c r="B3" s="3">
        <v>0.84</v>
      </c>
    </row>
    <row r="4" ht="15" spans="1:2">
      <c r="A4" s="2" t="s">
        <v>3</v>
      </c>
      <c r="B4" s="3">
        <v>0.841549295774648</v>
      </c>
    </row>
    <row r="5" ht="15" spans="1:2">
      <c r="A5" s="2" t="s">
        <v>2</v>
      </c>
      <c r="B5" s="3">
        <v>0.871794871794872</v>
      </c>
    </row>
    <row r="6" ht="15" spans="1:2">
      <c r="A6" s="2" t="s">
        <v>4</v>
      </c>
      <c r="B6" s="3">
        <v>0.871875</v>
      </c>
    </row>
    <row r="7" ht="15" spans="1:2">
      <c r="A7" s="2" t="s">
        <v>4</v>
      </c>
      <c r="B7" s="3">
        <f>(80.24+101.32+123.61+152.84+2026.34+2743.76)/(2662.25+3293.82)</f>
        <v>0.877778468016662</v>
      </c>
    </row>
    <row r="8" spans="1:2">
      <c r="A8" s="2" t="s">
        <v>4</v>
      </c>
      <c r="B8" s="4">
        <f>(1.427+0.811+94.741+0.525-2.708)/100</f>
        <v>0.94796</v>
      </c>
    </row>
    <row r="9" ht="15" spans="1:2">
      <c r="A9" s="2" t="s">
        <v>3</v>
      </c>
      <c r="B9" s="3">
        <v>0.888968956953642</v>
      </c>
    </row>
    <row r="10" ht="15" spans="1:2">
      <c r="A10" s="2" t="s">
        <v>2</v>
      </c>
      <c r="B10" s="3">
        <v>0.89</v>
      </c>
    </row>
    <row r="11" ht="15" spans="1:2">
      <c r="A11" s="2" t="s">
        <v>4</v>
      </c>
      <c r="B11" s="3">
        <f>(4.53+6.05+31.23+37.87+3521.44+4216.31)/(3857.12+4845.03)</f>
        <v>0.898333170538315</v>
      </c>
    </row>
    <row r="12" ht="15" spans="1:2">
      <c r="A12" s="2" t="s">
        <v>5</v>
      </c>
      <c r="B12" s="3">
        <f>(12.44+21.51+35.66+58.21+4316.93+4816.12)/(4509.85+5090.65)</f>
        <v>0.964623717514713</v>
      </c>
    </row>
    <row r="13" ht="15" spans="1:2">
      <c r="A13" s="2" t="s">
        <v>6</v>
      </c>
      <c r="B13" s="5">
        <v>0.898085980559174</v>
      </c>
    </row>
    <row r="14" ht="15" spans="1:2">
      <c r="A14" s="2" t="s">
        <v>4</v>
      </c>
      <c r="B14" s="3">
        <v>0.909560723514212</v>
      </c>
    </row>
    <row r="15" ht="15" spans="1:2">
      <c r="A15" s="2" t="s">
        <v>5</v>
      </c>
      <c r="B15" s="3">
        <v>0.926317179453321</v>
      </c>
    </row>
    <row r="16" ht="15" spans="1:2">
      <c r="A16" s="2" t="s">
        <v>4</v>
      </c>
      <c r="B16" s="3">
        <v>0.933333333333333</v>
      </c>
    </row>
    <row r="17" spans="1:2">
      <c r="A17" s="2" t="s">
        <v>2</v>
      </c>
      <c r="B17" s="2">
        <v>0.947867298578199</v>
      </c>
    </row>
    <row r="18" ht="15" spans="1:2">
      <c r="A18" s="2" t="s">
        <v>2</v>
      </c>
      <c r="B18" s="3">
        <v>0.95</v>
      </c>
    </row>
    <row r="19" ht="15" spans="1:2">
      <c r="A19" s="2" t="s">
        <v>4</v>
      </c>
      <c r="B19" s="3">
        <f>(5.06+10.93+6.34+13.11+2061.61+2256.19)/(2177.63+2450.18)</f>
        <v>0.940669560764163</v>
      </c>
    </row>
    <row r="20" ht="15" spans="1:2">
      <c r="A20" s="2" t="s">
        <v>2</v>
      </c>
      <c r="B20" s="3">
        <v>0.977190463215259</v>
      </c>
    </row>
    <row r="21" ht="15" spans="1:2">
      <c r="A21" s="2" t="s">
        <v>7</v>
      </c>
      <c r="B21" s="3">
        <v>0.982142857142857</v>
      </c>
    </row>
    <row r="22" ht="15" spans="1:2">
      <c r="A22" s="2" t="s">
        <v>7</v>
      </c>
      <c r="B22" s="3">
        <v>0.997163120567376</v>
      </c>
    </row>
    <row r="23" ht="15" spans="1:2">
      <c r="A23" s="2" t="s">
        <v>7</v>
      </c>
      <c r="B23" s="3">
        <v>0.99790373296783</v>
      </c>
    </row>
    <row r="24" ht="15" spans="1:2">
      <c r="A24" s="3" t="s">
        <v>8</v>
      </c>
      <c r="B24" s="3">
        <v>0.995980980414355</v>
      </c>
    </row>
  </sheetData>
  <autoFilter xmlns:etc="http://www.wps.cn/officeDocument/2017/etCustomData" ref="A1:B24" etc:filterBottomFollowUsedRange="0">
    <sortState ref="A1:B24">
      <sortCondition ref="B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Qixiang Zhu</dc:creator>
  <cp:lastModifiedBy>WPS_245837039</cp:lastModifiedBy>
  <dcterms:created xsi:type="dcterms:W3CDTF">2023-05-12T11:15:00Z</dcterms:created>
  <dcterms:modified xsi:type="dcterms:W3CDTF">2026-08-05T08:55:07Z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528CF051EFD84F36B4D6AD47BD509264_13</vt:lpwstr>
  </property>
  <property fmtid="{D5CDD505-2E9C-101B-9397-08002B2CF9AE}" pid="4" name="CalculationRule">
    <vt:i4>0</vt:i4>
  </property>
</Properties>
</file>