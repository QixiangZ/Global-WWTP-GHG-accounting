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<sst xmlns="http://schemas.openxmlformats.org/spreadsheetml/2006/main" count="36" uniqueCount="36">
  <si>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CH4_Safetreated_Mean</t>
  </si>
  <si>
    <t>CH4_Safetreated_P2.5</t>
  </si>
  <si>
    <t>CH4_Safetreated_Median</t>
  </si>
  <si>
    <t>CH4_Safetreated_P97.5</t>
  </si>
  <si>
    <t>CH4_AD_Mean</t>
  </si>
  <si>
    <t>CH4_AD_P2.5</t>
  </si>
  <si>
    <t>CH4_AD_Median</t>
  </si>
  <si>
    <t>CH4_AD_P97.5</t>
  </si>
  <si>
    <t>CH4_inPlant_Mean</t>
  </si>
  <si>
    <t>CH4_inPlant_P2.5</t>
  </si>
  <si>
    <t>CH4_inPlant_Median</t>
  </si>
  <si>
    <t>CH4_inPlant_P97.5</t>
  </si>
  <si>
    <t>N2O_Safetreated_Mean</t>
  </si>
  <si>
    <t>N2O_Safetreated_P2.5</t>
  </si>
  <si>
    <t>N2O_Safetreated_Median</t>
  </si>
  <si>
    <t>N2O_Safetreated_P97.5</t>
  </si>
  <si>
    <t>CO2e_total_Mean</t>
  </si>
  <si>
    <t>CO2e_total_P2.5</t>
  </si>
  <si>
    <t>CO2e_total_Median</t>
  </si>
  <si>
    <t>CO2e_total_P97.5</t>
  </si>
  <si>
    <t>CH4_EF_safetreated_Mean</t>
  </si>
  <si>
    <t>CH4_EF_safetreated_P2.5</t>
  </si>
  <si>
    <t>CH4_EF_safetreated_Median</t>
  </si>
  <si>
    <t>CH4_EF_safetreated_P97.5</t>
  </si>
  <si>
    <t>CH4_EF_inPlant_Mean</t>
  </si>
  <si>
    <t>CH4_EF_inPlant_P2.5</t>
  </si>
  <si>
    <t>CH4_EF_inPlant_Median</t>
  </si>
  <si>
    <t>CH4_EF_inPlant_P97.5</t>
  </si>
  <si>
    <t>N2O_EF_Mean</t>
  </si>
  <si>
    <t>N2O_EF_P2.5</t>
  </si>
  <si>
    <t>N2O_EF_Median</t>
  </si>
  <si>
    <t>N2O_EF_P97.5</t>
  </si>
  <si>
    <t>CH4_EF_Defined</t>
  </si>
  <si>
    <t>N2O_EF_Defined</t>
  </si>
  <si>
    <t>BOD_intoSecondary_Total</t>
  </si>
  <si>
    <t>TN_intoSecondary_Total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</si>
</sst>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"/>
  <sheetViews>
    <sheetView tabSelected="1" workbookViewId="0">
      <selection activeCell="K8" sqref="K8"/>
    </sheetView>
  </sheetViews>
  <sheetFormatPr defaultColWidth="9" defaultRowHeight="13.5" outlineLevelRow="3"/>
  <cols>
    <col min="9" max="9" width="12.625"/>
    <col min="13" max="13" width="12.625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>
        <v>1794.06499737102</v>
      </c>
      <c r="B2">
        <v>1676.00515594643</v>
      </c>
      <c r="C2">
        <v>1778.47614193472</v>
      </c>
      <c r="D2">
        <v>2016.66520759139</v>
      </c>
      <c r="E2">
        <v>166.745950915488</v>
      </c>
      <c r="F2">
        <v>6.87614955254349</v>
      </c>
      <c r="G2">
        <v>152.344388471732</v>
      </c>
      <c r="H2">
        <v>409.656247346815</v>
      </c>
      <c r="I2">
        <v>1960.8109482865</v>
      </c>
      <c r="J2">
        <v>1737.48153777799</v>
      </c>
      <c r="K2">
        <v>1945.9137786918</v>
      </c>
      <c r="L2">
        <v>2276.49710536715</v>
      </c>
      <c r="M2">
        <v>237.727545189591</v>
      </c>
      <c r="N2">
        <v>224.399714800658</v>
      </c>
      <c r="O2">
        <v>237.117413964186</v>
      </c>
      <c r="P2">
        <v>255.440995487298</v>
      </c>
      <c r="Q2">
        <v>117841.515440494</v>
      </c>
      <c r="R2">
        <v>110667.961903936</v>
      </c>
      <c r="S2">
        <v>117531.131567847</v>
      </c>
      <c r="T2">
        <v>126941.663111409</v>
      </c>
      <c r="U2">
        <v>0.0334840961709191</v>
      </c>
      <c r="V2">
        <v>0.031280649199947</v>
      </c>
      <c r="W2">
        <v>0.0331931486660135</v>
      </c>
      <c r="X2">
        <v>0.0376386651846439</v>
      </c>
      <c r="Y2">
        <v>0.0365962116543309</v>
      </c>
      <c r="Z2">
        <v>0.0324280329817522</v>
      </c>
      <c r="AA2">
        <v>0.0363181736456108</v>
      </c>
      <c r="AB2">
        <v>0.0424881195054991</v>
      </c>
      <c r="AC2">
        <v>0.00569432539233046</v>
      </c>
      <c r="AD2">
        <v>0.00537508176850956</v>
      </c>
      <c r="AE2">
        <v>0.00567971082283788</v>
      </c>
      <c r="AF2">
        <v>0.00611861846167411</v>
      </c>
      <c r="AG2">
        <v>1</v>
      </c>
      <c r="AH2">
        <v>1</v>
      </c>
      <c r="AI2">
        <v>53579.6154751568</v>
      </c>
      <c r="AJ2">
        <v>41748.1490449737</v>
      </c>
    </row>
    <row r="3" spans="1:36">
      <c r="E3">
        <f>E2*27/1000</f>
        <v>4.50214067471818</v>
      </c>
      <c r="I3">
        <f t="shared" ref="I3:L3" si="0">I2*27/1000</f>
        <v>52.9418956037356</v>
      </c>
      <c r="J3">
        <f t="shared" si="0"/>
        <v>46.9120015200056</v>
      </c>
      <c r="L3">
        <f t="shared" si="0"/>
        <v>61.4654218449131</v>
      </c>
      <c r="M3">
        <f t="shared" ref="M3:P3" si="1">M2*273/1000</f>
        <v>64.8996198367582</v>
      </c>
      <c r="N3">
        <f t="shared" si="1"/>
        <v>61.2611221405797</v>
      </c>
      <c r="P3">
        <f t="shared" si="1"/>
        <v>69.7353917680325</v>
      </c>
    </row>
    <row r="4" spans="1:36">
      <c r="I4">
        <f>E3/I3</f>
        <v>0.0850392798251165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z5635852</cp:lastModifiedBy>
  <dcterms:created xsi:type="dcterms:W3CDTF">2026-08-03T00:24:00Z</dcterms:created>
  <dcterms:modified xsi:type="dcterms:W3CDTF">2026-08-04T06:10:22Z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75D9E0C40542423D9C79B01A4A2FEE8F_12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0</vt:i4>
  </property>
</Properties>
</file>