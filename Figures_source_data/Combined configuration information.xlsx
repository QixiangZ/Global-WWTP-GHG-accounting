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Dictionary" sheetId="1" r:id="rId1"/>
    <sheet name="CH4_EF" sheetId="2" r:id="rId2"/>
    <sheet name="N2O_EF" sheetId="3" r:id="rId3"/>
    <sheet name="SA2050" sheetId="4" r:id="rId4"/>
    <sheet name="NH4_TN_ratio" sheetId="5" r:id="rId5"/>
    <sheet name="CH4_IQR" sheetId="7" r:id="rId6"/>
    <sheet name="N2O_IQR" sheetId="6" r:id="rId7"/>
  </sheets>
  <definedNames>
    <definedName name="_xlnm._FilterDatabase" localSheetId="1" hidden="1">CH4_EF!$A$1:$I$383</definedName>
    <definedName name="_xlnm._FilterDatabase" localSheetId="2" hidden="1">N2O_EF!$A$1:$I$574</definedName>
    <definedName name="_xlnm._FilterDatabase" localSheetId="5" hidden="1">CH4_IQR!$A$1:$F$637</definedName>
    <definedName name="_xlnm._FilterDatabase" localSheetId="6" hidden="1">N2O_IQR!$A$1:$I$778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<sst xmlns="http://schemas.openxmlformats.org/spreadsheetml/2006/main" count="7943" uniqueCount="404">
  <si>
    <t>Title</t>
  </si>
  <si>
    <t>Global greenhouse gas emissions from wastewater treatment plants reveal opportunities for climate mitigation</t>
  </si>
  <si>
    <t>Authors</t>
  </si>
  <si>
    <t>Qixiang Zhu, Jiaying Li, Bing-Jie Ni, Thomas Wiedmann, Yifeng Ying, Liu Ye, Mark C.M. van Loosdrecht, Zhiguo Yuan, Haoran Duan*</t>
  </si>
  <si>
    <t>Description</t>
  </si>
  <si>
    <t>Data dictionary for [Region_resolved pollutant flows and GHG emissions]</t>
  </si>
  <si>
    <t>This file is the emission-factor library of the study together with the process coefficients of the 2050 technology assessment. It records, for every measurement retained from the literature, the value exactly as published in the source study or report, the unit in which the source expresses it, and the value after conversion to the common basis used here, so that every factor entering the calculation can be traced back to its original publication. The compilation comprises 560 N2O values from 132 studies and 369 CH4 values from 40 studies, assembled and processed as described in Supplementary Sections S.2.2.1 to S.2.2.3.</t>
  </si>
  <si>
    <t>Measurement boundary is recorded for every value and reconciled following S.2.2.2. Bioreactor-only CH4 values are scaled to a whole-facility basis deterministically, by dividing by the mean facility-to-bioreactor ratio of 0.417 derived from the 14 studies that report a factor at both boundaries, 9 of them for A2O. For N2O the ratio is not applied deterministically: it is treated as a distribution and sampled within the 10,000-iteration Monte Carlo simulation.</t>
  </si>
  <si>
    <t>All load and emission symbols, and the routing equations, follow Supplementary Tables S16 to S18 and the equations of Section S.3. The node labels (A1 sewer, A2 septic tank, A3 other, B_safe at-least-secondary, B_unsafe primary-only, C sludge digestion, D1 safely-treated discharge, D2 unsafely treated discharge) are defined there.</t>
  </si>
  <si>
    <t>Classes without a literature value of their own are filled from the class closest to them in process, and every substitution is recorded here. BNR takes into its statistics the factors reported for A2O, AO and MLE. For CH4, EA is assigned the CAS factor, because it has no anaerobic or anoxic stage.  For N2O, Lagoon and Pond are pooled and treated as a single emission class. RBC is filled from TF.</t>
  </si>
  <si>
    <t>Sheet</t>
  </si>
  <si>
    <t>Name</t>
  </si>
  <si>
    <t>Contents</t>
  </si>
  <si>
    <t>One row is</t>
  </si>
  <si>
    <t>Documented in</t>
  </si>
  <si>
    <t>Dictionary</t>
  </si>
  <si>
    <t>Column-by-column data dictionary for this file, with the conversion rules, the measurement-boundary treatment and the class substitutions applied to the compiled factors</t>
  </si>
  <si>
    <t>One column of one data sheet</t>
  </si>
  <si>
    <t>Supplementary S.2.2</t>
  </si>
  <si>
    <t>CH4_EF</t>
  </si>
  <si>
    <t>Compiled CH4 emission factors: the value as published, its original unit, the value converted to kg CH4 per kg influent BOD5, the measurement boundary, and the value after scaling to a whole-facility basis</t>
  </si>
  <si>
    <t>One reported CH4 measurement</t>
  </si>
  <si>
    <t>S.2.2.1 and S.2.2.2</t>
  </si>
  <si>
    <t>N2O_EF</t>
  </si>
  <si>
    <t>Compiled N2O emission factors: the value as published, its original unit, the value converted to per cent of influent TN, the measurement boundary and the facility-to-bioreactor ratio recorded for the study</t>
  </si>
  <si>
    <t>One reported N2O measurement</t>
  </si>
  <si>
    <t>SA2050</t>
  </si>
  <si>
    <t>Process coefficients of the 2050 technology assessment for the A-stage configurations CEPT, HRAS and AnMBR and the B-stage PNA process, each given as published and as used here</t>
  </si>
  <si>
    <t>One process coefficient</t>
  </si>
  <si>
    <t>S.4.3</t>
  </si>
  <si>
    <t>NH4_TN_ratio</t>
  </si>
  <si>
    <t>Influent ammonium-nitrogen to total-nitrogen ratios extracted from the studies reporting both, used to place N2O factors reported on an ammonium basis onto a TN basis; the mean of 0.7 is applied where a study does not report its own ratio</t>
  </si>
  <si>
    <t>Studies reporting both NH4-N and TN influent</t>
  </si>
  <si>
    <t>S.2.2.1</t>
  </si>
  <si>
    <t>CH4_IQR</t>
  </si>
  <si>
    <t>Record of the interquartile-range screening of the CH4 factors: the quartiles and bounds of each process-by-gas group, the values removed and the class substitutions applied. The screening removed 12.3 per cent of the CH4 values</t>
  </si>
  <si>
    <t>One process class, with the removed values listed</t>
  </si>
  <si>
    <t>S.2.2.3</t>
  </si>
  <si>
    <t>N2O_IQR</t>
  </si>
  <si>
    <t>Record of the interquartile-range screening of the N2O factors, on the same basis. The screening removed 6.9 per cent of the N2O values</t>
  </si>
  <si>
    <t>Sheet 2. CH4_EF</t>
  </si>
  <si>
    <t>Configuration</t>
  </si>
  <si>
    <t>Bioreactor class to which the record is assigned, one of the 16 classes of S.1.2</t>
  </si>
  <si>
    <t>Reported CH4 EF</t>
  </si>
  <si>
    <t>CH4 emission factor exactly as published in the source study or report, before any conversion</t>
  </si>
  <si>
    <t>Unit</t>
  </si>
  <si>
    <t>Unit in which the source expresses the factor, including the pollutant basis</t>
  </si>
  <si>
    <t>EF (kg CH4/kg BOD5,in)</t>
  </si>
  <si>
    <t>Reported value converted to the common basis of this study, kg CH4 per kg influent BOD5, using COD/BOD5 = 2.4, COD/TOC = 3 and COD/VSS = 1.4. Where the source gives a removed basis without stating its removal efficiency, the IPCC default removals of 85 per cent for biological treatment and 90 per cent for advanced biological treatment are applied (S.2.2.1)</t>
  </si>
  <si>
    <t>Facility or Bioreactor</t>
  </si>
  <si>
    <t>Measurement boundary of the source value: whole facility, or bioreactor only (S.2.2.2)</t>
  </si>
  <si>
    <t>EF modified (kg CH4/kg BOD5,in)</t>
  </si>
  <si>
    <t>Value placed on a whole-facility basis. Facility measurements are carried through unchanged; bioreactor-only measurements are divided by the facility-to-bioreactor ratio. This is the value that enters the emission-factor pool of S.2.3</t>
  </si>
  <si>
    <t>F/B ratio</t>
  </si>
  <si>
    <t>Facility-to-bioreactor ratio applied to this record. For CH4 a single mean ratio of 0.417 is applied deterministically, derived from the 14 points reporting a factor at both boundaries. Left blank where the value is already on a facility basis</t>
  </si>
  <si>
    <t>Note</t>
  </si>
  <si>
    <t>/</t>
  </si>
  <si>
    <t>Reference</t>
  </si>
  <si>
    <t>Source study or report from which the value was taken</t>
  </si>
  <si>
    <t>Sheet 3. N2O_EF</t>
  </si>
  <si>
    <t>F/B</t>
  </si>
  <si>
    <t>N2O value</t>
  </si>
  <si>
    <t>N2O emission factor exactly as published in the source study or report, before any conversion</t>
  </si>
  <si>
    <t>N2O unit</t>
  </si>
  <si>
    <t>Unit in which the source expresses the factor, including the nitrogen basis</t>
  </si>
  <si>
    <t>% TN-in</t>
  </si>
  <si>
    <t>Reported value converted to the common basis of this study, per cent of influent TN. Where the source reports relative to influent ammonium nitrogen, the study's own influent NH4-N to TN ratio is used if reported, and otherwise the mean ratio of 0.7 across the studies reporting both (S.2.2.1, sheet NH4_TN_ratio)</t>
  </si>
  <si>
    <t>N removal ratio</t>
  </si>
  <si>
    <t>Nitrogen removal efficiency used where the source reports on a removed basis: the study's own value where given, and otherwise the IPCC default</t>
  </si>
  <si>
    <t>Facility-to-bioreactor ratio recorded for the study. For N2O the ratio is not applied deterministically; it is treated as a distribution and sampled within the 10,000-iteration Monte Carlo simulation (S.2.2.2)</t>
  </si>
  <si>
    <t>Values with * were obtained from Song et al. (2024) [DOI: https://doi.org/10.1038/s41893-024-01420-9] and are reported here without modification.</t>
  </si>
  <si>
    <t>Sheet 4. SA2050</t>
  </si>
  <si>
    <t>process</t>
  </si>
  <si>
    <t>Treatment stage of the 2050 configuration assessment: CEPT, HRAS or AnMBR for the A stage and PNA for the B stage.</t>
  </si>
  <si>
    <t>Parameter</t>
  </si>
  <si>
    <t>Coefficient recorded in this row. The permitted values, by process, are listed in the table below</t>
  </si>
  <si>
    <t>Value</t>
  </si>
  <si>
    <t>Coefficient as used in this study, on the harmonised basis given in Unit</t>
  </si>
  <si>
    <t>Unit of Value</t>
  </si>
  <si>
    <t>Reported Value</t>
  </si>
  <si>
    <t>Coefficient exactly as published in the source, before any conversion</t>
  </si>
  <si>
    <t>Reported Unit</t>
  </si>
  <si>
    <t>Unit in which the source expresses the coefficient</t>
  </si>
  <si>
    <t>Sheet 5. NH4_TN_ratio</t>
  </si>
  <si>
    <t>Bioreactor class in literature</t>
  </si>
  <si>
    <t>TN-in</t>
  </si>
  <si>
    <t>Influent total nitrogen concentration reported by the source, mg/L</t>
  </si>
  <si>
    <t>NH4+ influent average</t>
  </si>
  <si>
    <t>Mean influent ammonium nitrogen concentration reported by the source, , mg/L</t>
  </si>
  <si>
    <t>Sheet 6. CH4_IQR</t>
  </si>
  <si>
    <t>kg CH4/kg BOD5,in</t>
  </si>
  <si>
    <t>Harmonised CH4 emission factor of the record before any measurement-boundary scaling; the same quantity as EF (kg CH4/kg BOD5,in) in the CH4_EF sheet</t>
  </si>
  <si>
    <t>Status</t>
  </si>
  <si>
    <t>Outcome of the screening for this record: retained, or removed for falling outside the bounds of its group</t>
  </si>
  <si>
    <t>Lower_Bound</t>
  </si>
  <si>
    <t>Lower screening bound of the group, Q1 minus 1.5 times the interquartile range of the retained records of that class</t>
  </si>
  <si>
    <t>Upper_Bound</t>
  </si>
  <si>
    <t>Upper screening bound of the group, Q3 plus 1.5 times the interquartile range</t>
  </si>
  <si>
    <t>Supplement from other configurations</t>
  </si>
  <si>
    <t>Class substitution applied to the group where it has no literature value of its own. Blank where the class is screened on its own values only</t>
  </si>
  <si>
    <t>Sheet 7. N2O_IQR</t>
  </si>
  <si>
    <t>% TNin</t>
  </si>
  <si>
    <t>Harmonised N2O emission factor of the record before any measurement-boundary scaling, expressed as per cent of influent TN; the same quantity as % TN-in in the N2O_EF sheet</t>
  </si>
  <si>
    <t>Measurement boundary of the record: whole facility, or bioreactor only</t>
  </si>
  <si>
    <t>Ratio_Mean_Used</t>
  </si>
  <si>
    <t>Mean facility-to-bioreactor ratio used to place every record on a common footing for the screening step. In the emission calculation itself the N2O ratio is not applied as a fixed number but is sampled from a distribution within the 10,000-iteration Monte Carlo simulation (S.2.2.2); a single mean is used here only so that all records are compared against one another on the same basis</t>
  </si>
  <si>
    <t>% TNin_after_F/B_scaling</t>
  </si>
  <si>
    <t>Value actually tested against the bounds, that is the factor after Ratio_Mean_Used has been applied</t>
  </si>
  <si>
    <t>CAS</t>
  </si>
  <si>
    <t>% kg CH4/kg CODin</t>
  </si>
  <si>
    <t>B</t>
  </si>
  <si>
    <t>Aboobakar, A. et al. Nitrous oxide emissions and dissolved oxygen profiling in a full-scale nitrifying activated sludge treatment plant. Water Research 47, 524–534, doi:https://doi.org/10.1016/j.watres.2012.10.004 (2013).</t>
  </si>
  <si>
    <t>SBR</t>
  </si>
  <si>
    <t>g CO2eq/m3 wastewater</t>
  </si>
  <si>
    <t>F</t>
  </si>
  <si>
    <t>397.7 g COD/m3 wastewater; The ratio is based on (AXT+OXT)/Total in Figure 3b; extracting the values from the chart yields an estimated ratio of approximately 99%.</t>
  </si>
  <si>
    <t>Bao, Z., Sun, S. &amp; Sun, D. Assessment of greenhouse gas emission from A/O and SBR wastewater treatment plants in Beijing, China. International Biodeterioration &amp; Biodegradation 108, 108–114, doi:https://doi.org/10.1016/j.ibiod.2015.11.028 (2016).</t>
  </si>
  <si>
    <t>AO</t>
  </si>
  <si>
    <t>364.8 g COD/m3 wastewater; The ratio is based on (AF+ANF)/Total in Figure 3b; extracting the values from the chart yields an estimated ratio of approximately 79% (AXT+OXT).</t>
  </si>
  <si>
    <t>kg/y</t>
  </si>
  <si>
    <t>761MGD per day, 220mg/L BOD5</t>
  </si>
  <si>
    <t>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t>
  </si>
  <si>
    <t>245MGD per day, 101mg/L BOD5</t>
  </si>
  <si>
    <t>27MGD per day, 195mg/L BOD5</t>
  </si>
  <si>
    <t>kg CH4/kg COD</t>
  </si>
  <si>
    <t>Chen, W.-H., Yang, J.-H., Yuan, C.-S. &amp; Yang, Y.-H. Toward better understanding and feasibility of controlling greenhouse gas emissions from treatment of industrial wastewater with activated sludge. Environmental Science and Pollution Research 23, 20449–20461, doi:https://doi.org/10.1007/s11356-016-7183-2 (2016).</t>
  </si>
  <si>
    <t>AAO</t>
  </si>
  <si>
    <t>kg CH4/kg CODremoved</t>
  </si>
  <si>
    <t>Chong, Y. et al. More applicable quantification of non-CO₂ greenhouse gas emissions from wastewater treatment plants by on-site plant-integrated measurements. Science of The Total Environment 929, 172598, doi:https://doi.org/10.1016/j.scitotenv.2024.172598 (2024).</t>
  </si>
  <si>
    <t>g/y</t>
  </si>
  <si>
    <t>4.6×10^6 L per day in winter; 250mg/L BOD5in</t>
  </si>
  <si>
    <t>Czepiel, P. M., Crill, P. M. &amp; Harriss, R. C. Methane emissions from municipal wastewater treatment processes. Environmental Science &amp; Technology 27, 2472–2477, doi:https://doi.org/10.1021/es00048a025 (1993).</t>
  </si>
  <si>
    <t>2.0×10^6 L per day in summer; 250mg/L BOD5in</t>
  </si>
  <si>
    <t>Daelman, M. R. J., van Voorthuizen, E. M., van Dongen, L. G. J. M., Volcke, E. I. P. &amp; van Loosdrecht, M. C. M. Methane and nitrous oxide emissions from municipal wastewater treatment – results from a long-term study. Water Science and Technology 67, 2350–2355, doi:https://doi.org/10.2166/wst.2013.109 (2013).</t>
  </si>
  <si>
    <t>Daelman, M. R. J., van Voorthuizen, E. M., van Dongen, U. G. J. M., Volcke, E. I. P. &amp; van Loosdrecht, M. C. M. Methane emission during municipal wastewater treatment. Water Research 46, 3657–3670, doi:https://doi.org/10.1016/j.watres.2012.04.024 (2012).</t>
  </si>
  <si>
    <t>Delre, A., Mønster, J. &amp; Scheutz, C. Greenhouse gas emission quantification from wastewater treatment plants, using a tracer gas dispersion method. Science of The Total Environment 605-606, 258–268, doi:https://doi.org/10.1016/j.scitotenv.2017.06.177 (2017).</t>
  </si>
  <si>
    <t>BAF</t>
  </si>
  <si>
    <t>BNR</t>
  </si>
  <si>
    <t>Gålfalk, M. &amp; Bastviken, D. In situ observations reveal underestimated greenhouse gas emissions from wastewater treatment with anaerobic digestion – sludge was a major source for both CH4 and N2O. Environmental Science &amp; Technology 59, 18146–18155. doi:https://doi.org/10.1021/acs.est.5c04780 (2025).</t>
  </si>
  <si>
    <t>MBR</t>
  </si>
  <si>
    <t>g CH4/kg TOCin</t>
  </si>
  <si>
    <t>González, D., Colón, J., Sánchez, A. &amp; Gabriel, D. Multipoint characterization of the emission of odour, volatile organic compounds and greenhouse gases from a full-scale membrane-based municipal WWTP. Journal of Environmental Management 313, 115002, doi:https://doi.org/10.1016/j.jenvman.2022.115002 (2022).</t>
  </si>
  <si>
    <t>g CH4/kg BODremoved</t>
  </si>
  <si>
    <t>Hwang, K.-L., Bang, C.-H. &amp; Zoh, K.-D. Characteristics of methane and nitrous oxide emissions from the wastewater treatment plant. Bioresource Technology 214, 881–884, doi:https://doi.org/10.1016/j.biortech.2016.05.047 (2016).</t>
  </si>
  <si>
    <t>798MGD per day, 208.6mg/L BOD5</t>
  </si>
  <si>
    <t>Kozak, J. A. et al. Methane and Nitrous Oxide Emissions from Wastewater Treatment Plant Processes. Proceedings of the Water Environment Federation 2009, 5347–5361, doi:https://doi.org/10.2175/193864709793952530 (2009).</t>
  </si>
  <si>
    <t>ppv CO2e</t>
  </si>
  <si>
    <t>The chart indicates approximately 700 to 1,300 ppm CO2e CH4, with a flow rate of 110 m3/s and a daily COD load of 151,000 kg</t>
  </si>
  <si>
    <t>Kuokkanen, A., Mikola, A. &amp; Heinonen, M. Seasonal and diurnal variations of GHG emissions measured continuously at the Viikinmäki underground WWTP. Frontiers in Wastewater Treatment and Modelling 464–469, doi:https://doi.org/10.1007/978-3-319-58421-8_73 (2017).</t>
  </si>
  <si>
    <t>kg CH4/kg BODremoved</t>
  </si>
  <si>
    <t>Kyung, D., Kim, M., Chang, J. &amp; Lee, W. Estimation of greenhouse gas emissions from a hybrid wastewater treatment plant. Journal of Cleaner Production 95, 117–123, doi:https://doi.org/10.1016/j.jclepro.2015.02.032 (2015).</t>
  </si>
  <si>
    <t>kg/day</t>
  </si>
  <si>
    <t>Values extracted from Figure 4.3; 250000 m3; 675mg/L COD</t>
  </si>
  <si>
    <t>Liu, W.-B. Non-carbon dioxide greenhouse gas emission from different municipal wastewater treatment process (CN). MSc thesis (2013). [in Chinese] url: https://oversea.cnki.net/kcms2/article/abstract?v=kHYcgWPeIEbqZCwyWIUL5pNPwGKNUnRUoGZxk4D21gxxQwcnKNuX4IUcLyolV_49FyDLYVdVd1Mx1F6EFiTu7BRJTFOpLdK10QxZrvYX0ImASUf0vXuJ1511EM6iPwm5-BlQuGfDf4nlrGsz7GH_YwwTfgjgbyGPSeHywUm4jjgTK1JZWqr05y7SKT3FcXnO&amp;uniplatform=OVERSEA&amp;language=CHS</t>
  </si>
  <si>
    <t>OD</t>
  </si>
  <si>
    <t>Values extracted from Figure 4.2; 150000 m3; 675mg/L COD</t>
  </si>
  <si>
    <t>g/ton</t>
  </si>
  <si>
    <t>500mg/L BOD5in; 99.5% from Bioreactor</t>
  </si>
  <si>
    <t>Liu, Y., Cheng, X., Lun, X. &amp; Sun, D. CH4 emission and conversion from A2O and SBR processes in full-scale wastewater treatment plants. Journal of Environmental Sciences 26, 224–230, doi:https://doi.org/10.1016/s1001-0742(13)60401-5 (2014).</t>
  </si>
  <si>
    <t>400mg/L BOD5in; 76.2% from Bioreactor</t>
  </si>
  <si>
    <t>Wetland</t>
  </si>
  <si>
    <t>% kg CH4-C/kg TOCin</t>
  </si>
  <si>
    <t>Mander, Ü. et al. The impact of a pulsing water table on wastewater purification and greenhouse gas emission in a horizontal subsurface flow constructed wetland. Ecological Engineering 80, 69–78, doi:https://doi.org/10.1016/j.ecoleng.2014.09.075 (2015).</t>
  </si>
  <si>
    <t>g/m3</t>
  </si>
  <si>
    <t>130mg/L BOD5in</t>
  </si>
  <si>
    <t>Masuda, S., Sano, I., Hojo, T., Li, Y.-Y. &amp; Nishimura, O. The comparison of greenhouse gas emissions in sewage treatment plants with different treatment processes. Chemosphere 193, 581–590, doi:https://doi.org/10.1016/j.chemosphere.2017.11.018 (2018).</t>
  </si>
  <si>
    <t>210mg/L BOD5in</t>
  </si>
  <si>
    <t>150mg/L BOD5in</t>
  </si>
  <si>
    <t>110mg/L CODin</t>
  </si>
  <si>
    <t>Masuda, S., Suzuki, S., Sano, I., Li, Y.-Y. &amp; Nishimura, O. The seasonal variation of emission of greenhouse gases from a full-scale sewage treatment plant. Chemosphere 140, 167–173, doi:https://doi.org/10.1016/j.chemosphere.2014.09.042 (2015).</t>
  </si>
  <si>
    <t>t/day</t>
  </si>
  <si>
    <t>42.0443974536ton BOD/day,the same applies below.</t>
  </si>
  <si>
    <t>Moore, D. P., Li, N. P., Song, C., Zhu, J.-J., Yi, H., Tao, L., McSpiritt, J., Sevostianov, V. I., Wendt, L. P., Rojas-Robles, N. E., Hopkins, F. M., Ren, Z. J. &amp; Zondlo, M. A. Comprehensive assessment of the contribution of wastewater treatment to urban greenhouse gas and ammonia emissions. Nature Water 3, 1114–1124, doi:https://doi.org/10.1038/s44221-025-00490-z (2025).</t>
  </si>
  <si>
    <t>RBC</t>
  </si>
  <si>
    <t>TF</t>
  </si>
  <si>
    <t>% kg CH4/kg VSin</t>
  </si>
  <si>
    <t>Osada, T., Shiraishi, M., Hasegawa, T. &amp; Kawahara, H. Methane, nitrous oxide and ammonia generation in full-scale swine wastewater purification facilities. Frontiers of Environmental Science &amp; Engineering 11, 10, doi:https://doi.org/10.1007/s11783-017-0933-7 (2017).</t>
  </si>
  <si>
    <t>mg/t</t>
  </si>
  <si>
    <t>215mg/L COD</t>
  </si>
  <si>
    <t>Qi, P.-Y., Zhang, J., Xie, H.-J. et al. Methane emission flux from municipal wastewater treatment plants. (2012). [in Chinese] url: https://oversea.cnki.net/kcms2/article/abstract?v=kHYcgWPeIEZ3eU3FazI4CtDDrrytMIPHZqxmDweaKiQR3-yTVNBa7CP6Gwp8UnLGRP7kyjCUDD-ZFCq5Haft633Y58pL6mGm2yY_nR2ApEmzHwllvVVz-u43lTLyXhL0wqmc8VnfHKx7TX-9AnNz0jHUXZx3jpG2w0x6bpm5vFzYo19Zcim-DQ==&amp;uniplatform=OVERSEA&amp;language=CHS</t>
  </si>
  <si>
    <t>% kg CH4/kg CODremoved</t>
  </si>
  <si>
    <t>Qi, W.-K., Song, Y., Peng, Y. &amp; Li, Y.-Y. Greenhouse gas emissions from a sewage contact oxidation emergency treatment plant after destruction by an earthquake and tsunami. Science of The Total Environment 687, 634–641, doi:https://doi.org/10.1016/j.scitotenv.2019.06.012 (2019).</t>
  </si>
  <si>
    <r>
      <rPr>
        <sz val="11"/>
        <rFont val="Times New Roman"/>
        <charset val="134"/>
      </rPr>
      <t>F/B =</t>
    </r>
    <r>
      <rPr>
        <sz val="11"/>
        <rFont val="SimSun"/>
        <charset val="134"/>
      </rPr>
      <t>（</t>
    </r>
    <r>
      <rPr>
        <sz val="11"/>
        <rFont val="Times New Roman"/>
        <charset val="134"/>
      </rPr>
      <t>AanT+AnoT+OT)/Total</t>
    </r>
  </si>
  <si>
    <t>Ren, Y. G. et al. Nitrous oxide and methane emissions from different treatment processes in full-scale municipal wastewater treatment plants. Environmental Technology 34, 2917–2927, doi:https://doi.org/10.1080/09593330.2012.696717 (2013).</t>
  </si>
  <si>
    <t>MLE</t>
  </si>
  <si>
    <t>Ribera-Guardia, A., Bosch, L., Corominas, L. &amp; Pijuan, M. Nitrous oxide and methane emissions from a plug-flow full-scale bioreactor and assessment of its carbon footprint. Journal of Cleaner Production 212, 162–172, doi:https://doi.org/10.1016/j.jclepro.2018.11.286 (2019).</t>
  </si>
  <si>
    <t>% kg CH4-C/kg CODin</t>
  </si>
  <si>
    <t>Rodriguez-Caballero, A., Aymerich, I., Poch, M. &amp; Pijuan, M. Evaluation of process conditions triggering emissions of green-house gases from a biological wastewater treatment system. Science of The Total Environment 493, 384–391, doi:https://doi.org/10.1016/j.scitotenv.2014.06.015 (2014).</t>
  </si>
  <si>
    <t>Samuelsson, J. et al. Optical technologies applied alongside on-site and remote approaches for climate gas emission quantification at a wastewater treatment plant. Water Research 131, 299–309, doi:https://doi.org/10.1016/j.watres.2017.12.018 (2018).</t>
  </si>
  <si>
    <t>64100 m3 per day, 201mg/L BOD5</t>
  </si>
  <si>
    <t>Schneider, A. G., Townsend-Small, A. &amp; Rosso, D. Impact of direct greenhouse gas emissions on the carbon footprint of water reclamation processes employing nitrification–denitrification. Science of The Total Environment 505, 1166–1173, doi:https://doi.org/10.1016/j.scitotenv.2014.10.060 (2015).</t>
  </si>
  <si>
    <t>% kg CH4/ kg COD-in</t>
  </si>
  <si>
    <t>EF comes from Figure 5</t>
  </si>
  <si>
    <t>Schouten, P., Sharma, A., Burn, S., Goodman, N. &amp; Umapathi, S. Evaluation of fugitive greenhouse gas emissions from decentralized wastewater treatment plants. World Environmental and Water Resources Congress 2013 3050–3061, doi:https://doi.org/10.1061/9780784412947.301 (2013).</t>
  </si>
  <si>
    <t>Søvik, A. K. et al. Emission of the greenhouse gases nitrous oxide and methane from constructed wetlands in Europe. Journal of Environmental Quality 35, 2360–2373, doi:https://doi.org/10.2134/jeq2006.0038 (2006).</t>
  </si>
  <si>
    <t>Sun, C., Liu, Y., Ciais, P., Broquet, G., Zheng, B., Wang, H. &amp; Chen, H. Measurement-based assessment reveals key drivers and mitigation potential of methane emissions from China's wastewater treatment. Science Advances 12, eaec0536, doi:https://doi.org/10.1126/sciadv.aec0536 (2026).</t>
  </si>
  <si>
    <t>g CH4/kg BODin</t>
  </si>
  <si>
    <t>Toyoda, S. et al. Isotopomer analysis of production and consumption mechanisms of N2O and CH4 in an advanced wastewater treatment system. Environmental Science &amp; Technology 45, 917–922, doi:https://doi.org/10.1021/es102985u (2010).</t>
  </si>
  <si>
    <t>Tumendelger, A., Alshboul, Z. &amp; Lorke, A. Methane and nitrous oxide emission from different treatment units of municipal wastewater treatment plants in Southwest Germany. PLOS ONE 14, e0209763, doi:https://doi.org/10.1371/journal.pone.0209763 (2019).</t>
  </si>
  <si>
    <t>kg CH4/kg CODin</t>
  </si>
  <si>
    <r>
      <rPr>
        <sz val="11"/>
        <rFont val="Times New Roman"/>
        <charset val="134"/>
      </rPr>
      <t xml:space="preserve">van Voorthuizen, E., Kampschreur, M., van Loosdrecht, M. C. M. &amp; Uijterlinde, C. </t>
    </r>
    <r>
      <rPr>
        <i/>
        <sz val="11"/>
        <rFont val="Times New Roman"/>
        <charset val="134"/>
      </rPr>
      <t>Emissies van broeikasgassen van rwzi's</t>
    </r>
    <r>
      <rPr>
        <sz val="11"/>
        <rFont val="Times New Roman"/>
        <charset val="134"/>
      </rPr>
      <t xml:space="preserve"> [Greenhouse gas emissions from wastewater treatment plants]. STOWA Report 2010-08 (STOWA, Amersfoort, The Netherlands, 2010). [in Dutch] url: https://edepot.wur.nl/340104</t>
    </r>
  </si>
  <si>
    <t>Vieira, A. et al. The impact of the art-ICA control technology on the performance, energy consumption and greenhouse gas emissions of full-scale wastewater treatment plants. Journal of Cleaner Production 213, 680–687, doi:https://doi.org/10.1016/j.jclepro.2018.12.229 (2019).</t>
  </si>
  <si>
    <t>kg/year</t>
  </si>
  <si>
    <t>Include statistics for the wastewater treatment process only, excluding the sludge portion (as the sludge on-site may cause extreme emissions due to storage, considered to be excluded or uncounted by the vast majority of WWTPs and out of our boundary.).</t>
  </si>
  <si>
    <t>Wang, J. et al. Methane emissions from a full-scale A/A/O wastewater treatment plant. Bioresource Technology 102, 5479–5485, doi:https://doi.org/10.1016/j.biortech.2010.10.090 (2011).</t>
  </si>
  <si>
    <t>Wang, Q. et al. Complete long-term monitoring of greenhouse gas emissions from a full-scale industrial wastewater treatment plant with different cover configurations. Journal of Environmental Management 360, 121206, doi:https://doi.org/10.1016/j.jenvman.2024.121206 (2024).</t>
  </si>
  <si>
    <t>g CH4/kg CODremoved</t>
  </si>
  <si>
    <t>Yan, X., Li, L. &amp; Liu, J. Characteristics of greenhouse gas emission in three full-scale wastewater treatment processes. Journal of Environmental Sciences 26, 256–263, doi:https://doi.org/10.1016/s1001-0742(13)60429-5 (2014).</t>
  </si>
  <si>
    <t>Yin, Y., Qi, X., Gao, L., Lu, X., Yang, X., Xiao, K., Liu, Y., Qiu, Y., Huang, X. &amp; Liang, P. Quantifying Methane Influx from Sewer into Wastewater Treatment Processes. Environmental Science &amp; Technology 58, 9582–9590, doi:https://doi.org/10.1021/acs.est.4c00820 (2024).</t>
  </si>
  <si>
    <t>80000 m3; 220mg/L COD</t>
  </si>
  <si>
    <t>Zhao, C. A Study on the Release of Greenhouse Gases Methane and Nitrous Oxide During Wastewater Treatment. (2019). [in Chinese] url: https://oversea.cnki.net/kcms2/article/abstract?v=kHYcgWPeIEZLBjDTCnAFM7hQ6FRkUlKVGRgpP_SMmwD7fZ6YSssKwhRje5Yk-Pc4AO2TiFruttwOS7gClLY58c3VlbZ08Jfdzfau3euvzEfS3FW_azxs1Cl32Key84u8JD98AHN1n4QcW-sDEwv9v_urGFe8x-s1UGdQNAKxGxuFSR6Zzs6TUA==&amp;uniplatform=OVERSEA&amp;language=CHS</t>
  </si>
  <si>
    <t>% TN in</t>
  </si>
  <si>
    <t>% TKN in</t>
  </si>
  <si>
    <t>Ahn, J. H. et al. N2O Emissions from Activated Sludge Processes, 2008-2009: Results of a National Monitoring Survey in the United States. Environmental Science &amp; Technology 44, 4505–4511, doi:https://doi.org/10.1021/es903845y (2010).</t>
  </si>
  <si>
    <t>*</t>
  </si>
  <si>
    <t>Arnell, M., Rahmberg, M., Oliveira, F. &amp; Jeppsson, U. Multi-objective performance assessment of wastewater treatment plants combining plant-wide process models and life cycle assessment. Journal of Water and Climate Change 8, 715–729, doi:https://doi.org/10.2166/wcc.2017.179 (2017).</t>
  </si>
  <si>
    <t>Asadi, M. &amp; McPhedran, K. Estimation of greenhouse gas and odour emissions from a cold region municipal biological nutrient removal wastewater treatment plant. Journal of Environmental Management 281, 111864, doi:https://doi.org/10.1016/j.jenvman.2020.111864 (2021).</t>
  </si>
  <si>
    <t>% TN removed</t>
  </si>
  <si>
    <t>89.9-100%NH4+ Removed rate</t>
  </si>
  <si>
    <t>Bae, W. B. et al. Temporal triggers of N2O emissions during cyclical and seasonal variations of a full-scale sequencing batch reactor treating municipal wastewater. Science of The Total Environment 797, 149093, doi:https://doi.org/10.1016/j.scitotenv.2021.149093 (2021).</t>
  </si>
  <si>
    <t>% kg N2O/ kg TN in</t>
  </si>
  <si>
    <t>Baeten, J.E., van Dijk, E.J.H., Pronk, M., van Loosdrecht, M.C.M. &amp; Volcke, E.I.P. Potential of off-gas analyses for sequentially operated reactors demonstrated on full-scale aerobic granular sludge technology. Science of The Total Environment 787, 147651, doi:https://doi.org/10.1016/j.scitotenv.2021.147651 (2021).</t>
  </si>
  <si>
    <t>Baresel, C., Andersson, S., Yang, J. &amp; Andersen, M. H. Comparison of nitrous oxide (N2O) emissions calculations at a Swedish wastewater treatment plant based on water concentrations versus off-gas concentrations. Advances in Climate Change Research 7, 185–191, doi:https://doi.org/10.1016/j.accre.2016.09.001 (2016).</t>
  </si>
  <si>
    <t>% kg N2O/ kg NH4-N removed</t>
  </si>
  <si>
    <t>Bellandi, G. et al. Multi-point monitoring of nitrous oxide emissions in three full-scale conventional activated sludge tanks in Europe. Water Science and Technology 77, 880–890, doi:https://doi.org/10.2166/wst.2017.560 (2017).</t>
  </si>
  <si>
    <t>Bollon, J. et al. N2O emissions from full-scale nitrifying biofilters. Water Research 102, 41–51, doi:https://doi.org/10.1016/j.watres.2016.05.091 (2016).</t>
  </si>
  <si>
    <t>Brotto, A. C. et al. Factors controlling nitrous oxide emissions from a full-scale activated sludge system in the tropics. Environmental Science and Pollution Research 22, 11840–11849, doi:https://doi.org/10.1007/s11356-015-4467-x (2015).</t>
  </si>
  <si>
    <t>Brotto, A. C. et al. Fatores de controle das emissões de óxido nitroso (N2O) em tanque de aeração de Estação de Tratamento de Esgoto. url:https://educapes.capes.gov.br/handle/capes/759334 (2017).</t>
  </si>
  <si>
    <t>Brotto, A. C. et al. Nitrous oxide emissions from an activated sludge wastewater treatment plant with prolonged aeration process - a preliminary study doi:https://doi.org/10.1590/S0100-40422010000300025 (2010).</t>
  </si>
  <si>
    <t>% kg N2O-N / kg NH4-N</t>
  </si>
  <si>
    <t>Caivano, M. et al. Monitoring the aeration efficiency and carbon footprint of a medium-sized WWTP: experimental results on oxidation tank and aerobic digester. Environmental Technology 38, 629–638, doi:https://doi.org/10.1080/09593330.2016.1205150 (2017).</t>
  </si>
  <si>
    <t>Caniani, D. et al. CO2 and N2O from water resource recovery facilities: Evaluation of emissions from biological treatment, settling, disinfection, and receiving water body. Science of The Total Environment 648, 1130–1140, doi:https://doi.org/10.1016/j.scitotenv.2018.08.150 (2019).</t>
  </si>
  <si>
    <t>Castellano-Hinojosa, A., Maza-Márquez, P., Melero-Rubio, Y., González-López, J. &amp; Rodelas, B. Linking nitrous oxide emissions to population dynamics of nitrifying and denitrifying prokaryotes in four full-scale wastewater treatment plants. Chemosphere 200, 57–66, doi:https://doi.org/10.1016/j.chemosphere.2018.02.102 (2018).</t>
  </si>
  <si>
    <t>Cavanaugh, S. K. Nitrous oxide emissions from wastewater treatment processes and process parameters affecting emissions. MSc thesis, Univ. Washington (2021). url: https://digital.lib.washington.edu/researchworks/items/d63e1324-42ab-4707-b9fd-d552dd105983</t>
  </si>
  <si>
    <t>g N2O/ g TN in</t>
  </si>
  <si>
    <t>kg N2O/ kg TN removed</t>
  </si>
  <si>
    <t>Christensson, M. et al. ANITA™ Mox – A BioFarm Solution for Fast Start-up of Deammonifying MBBRs. Proceedings of the Water Environment Federation 2011, 265–282, url:https://www.accesswater.org/publications/proceedings/-298660/anitatm-mox---a-biofarm-solution-for-fast-start-up-of-deammonifying-mbbrs (2011).</t>
  </si>
  <si>
    <t>Czepiel, P., Crill, P. &amp; Harriss, R. Nitrous Oxide Emissions from Municipal Wastewater Treatment. Environmental Science &amp; Technology 29, 2352–2356, doi:https://doi.org/10.1021/es00009a030 (1995).</t>
  </si>
  <si>
    <t>% g N2O-N/ g TN in</t>
  </si>
  <si>
    <t>de Mello, W.Z. et al. Nitrous oxide emissions from an intermittent aeration activated sludge system of an urban wastewater treatment plant. Química Nova 36, 16–20, doi:https://doi.org/10.1590/s0100-40422013000100004 (2013).</t>
  </si>
  <si>
    <t>% kg N2O/ kg TN removed</t>
  </si>
  <si>
    <t>Dias, D. F. C., Marques, R., Martins, C., Martins, A. &amp; Oehmen, A. The impact of a seasonal change in loading rate on the nitrous oxide emissions at the WWTP of a tourist region. Science of The Total Environment 804, 149987, doi:https://doi.org/10.1016/j.scitotenv.2021.149987 (2022).</t>
  </si>
  <si>
    <t>Duan, H. et al. Mitigating nitrous oxide emissions at a full-scale wastewater treatment plant. Water Research 185, 116196, doi:https://doi.org/10.1016/j.watres.2020.116196 (2020).</t>
  </si>
  <si>
    <t>% g N2O-N/ g TN removed</t>
  </si>
  <si>
    <t>Fenu, A., Smolders, S., De Gussem, K. &amp; Weemaes, M. Conflicting carbon footprint and energy saving in a side-stream Anammox Process. Biochemical Engineering Journal 151, 107336, doi:https://doi.org/10.1016/j.bej.2019.107336 (2019).</t>
  </si>
  <si>
    <t>Filali, A., Bollon, J., Molle, P., Mander, Ü. &amp; Gillot, S. High-frequency measurement of N₂O emissions from a full-scale vertical subsurface flow constructed wetland. Ecological Engineering 108, 240–248, doi:https://doi.org/10.1016/j.ecoleng.2017.08.037 (2017).</t>
  </si>
  <si>
    <r>
      <rPr>
        <sz val="11"/>
        <rFont val="Times New Roman"/>
        <charset val="134"/>
      </rPr>
      <t>Filali, A., Fayolle, Y., Peu, P., Philippe, L., Nauleau, F. &amp; Gillot, S. Aeration control in a full-scale activated sludge wastewater treatment plant: impact on performances, energy consumption and N</t>
    </r>
    <r>
      <rPr>
        <sz val="11"/>
        <rFont val="宋体"/>
        <charset val="134"/>
      </rPr>
      <t>2O</t>
    </r>
    <r>
      <rPr>
        <sz val="11"/>
        <rFont val="Times New Roman"/>
        <charset val="134"/>
      </rPr>
      <t xml:space="preserve"> emission. In Proc. 11th IWA Conference on Instrumentation, Control and Automation (ICA2013), Narbonne, France (2013). url: https://hal.science/hal-00941253</t>
    </r>
  </si>
  <si>
    <t>g N2O-N/ g TN removed</t>
  </si>
  <si>
    <t>Foley, J., de Haas, D., Yuan, Z. &amp; Lant, P. Nitrous oxide generation in full-scale biological nutrient removal wastewater treatment plants. Water Research 44, 831–844, doi:https://doi.org/10.1016/j.watres.2009.10.033 (2010).</t>
  </si>
  <si>
    <t>EA</t>
  </si>
  <si>
    <t>t N2O per year</t>
  </si>
  <si>
    <t>Gålfalk, M., Nilsson Påledal, S., Sehlén, R. &amp; Bastviken, D. Ground-based remote sensing of CH4 and N2O fluxes from a wastewater treatment plant and nearby biogas production with discoveries of unexpected sources. Environmental Research 204, 111978, doi:https://doi.org/10.1016/j.envres.2021.111978 (2022).</t>
  </si>
  <si>
    <t>g N2O-N/ kg TN in</t>
  </si>
  <si>
    <t>Gruber, W. et al. Estimation of countrywide N2O emissions from wastewater treatment in Switzerland using long-term monitoring data. Water Research X 13, 100122, doi:https://doi.org/10.1016/j.wroa.2021.100122 (2021).</t>
  </si>
  <si>
    <t>Gruber, W. et al. Linking seasonal N2O emissions and nitrification failures to microbial dynamics in a SBR wastewater treatment plant. Water Research X 11, 100098, doi:https://doi.org/10.1016/j.wroa.2021.100098 (2021).</t>
  </si>
  <si>
    <t>Gruber, W. et al. N2O emission in full-scale wastewater treatment: Proposing a refined monitoring strategy. Science of The Total Environment 699, 134157, doi:https://doi.org/10.1016/j.scitotenv.2019.134157 (2020).</t>
  </si>
  <si>
    <t>Gruber, W. et al. Tracing N2O formation in full-scale wastewater treatment with natural abundance isotopes indicates control by organic substrate and process settings. Water Research X 15, 100130, doi:https://doi.org/10.1016/j.wroa.2022.100130 (2022).</t>
  </si>
  <si>
    <t>Guimarães, L. B., Mezzari, M. P., Daudt, G. C. &amp; da Costa, R. H. R. Microbial pathways of nitrogen removal in aerobic granular sludge treating domestic wastewater. Journal of Chemical Technology &amp; Biotechnology 92, 1756–1765, doi:https://doi.org/10.1002/jctb.5176 (2017).</t>
  </si>
  <si>
    <t>Guo, L. et al. High-Frequency Field Measurement of Nitrous oxide (N2O) Gas Emissions and Influencing Factors at WWTPs under Dry and Wet Weather Conditions. Proceedings of the Water Environment Federation 2013, 621–629, doi:https://doi.org/10.2175/193864713813525310 (2013).</t>
  </si>
  <si>
    <t>% NH4-N removed</t>
  </si>
  <si>
    <t>Gustavsson, D. J. I. &amp; la Cour Jansen, J. Dynamics of nitrogen oxides emission from a full-scale sludge liquor treatment plant with nitritation. Water Science and Technology 63, 2838–2845, doi:https://doi.org/10.2166/wst.2011.487 (2011).</t>
  </si>
  <si>
    <t>% N2O-N/ NH4-N in</t>
  </si>
  <si>
    <t>Han, H.-C., Zhou, D., Wang, Y.-Y. et al. The emission characteristics of nitrous oxide and nitric oxide and related influence factors in an aeration tank of a municipal wastewater treatment plant using an A2/O process. (CN) (2016). [in Chinese] url: https://oversea.cnki.net/kcms2/article/abstract?v=kHYcgWPeIEYPoQgtO8SErXlTGTjFs67kDNDtgprNMCcqYh4qri-SWmGAP-DaCbkKxqtO7w_dhEWlTKR9zV7lFxIw9IHgK73A6--HqCBhHtMuwNEn2-D2qgcgIrMH8DU0ZWRcWOajZNrHR2S1Nyb6_IEEjYOdsG-xBPROHWS1PX78yheZQnFLbg==&amp;uniplatform=OVERSEA&amp;language=CHS</t>
  </si>
  <si>
    <t>Lagoon</t>
  </si>
  <si>
    <t>Hernandez-Paniagua, I. Y. et al. Greenhouse gas emissions from stabilization ponds in subtropical climate. Environmental Technology 35, 727–734, doi:https://doi.org/10.1080/09593330.2013.848910 (2013).</t>
  </si>
  <si>
    <t>Hilander, H. Nitrous oxide emission dynamics and emission factors of two Finnish wastewater treatment plants. url: https://aaltodoc.aalto.fi/server/api/core/bitstreams/df59b59c-c4b7-4c64-a2fb-f95648446556/content (2022).</t>
  </si>
  <si>
    <t>Huang, S.-Q., Liu, X.-H., Cao, X.-Y. et al. N2O Generation, Key Influencing Factors, and Emission Reduction Strategies of A2O Process in Municipal Wastewater Treatment Plant (CN). (2025). [in Chinese] url: https://oversea.cnki.net/kcms2/article/abstract?v=kHYcgWPeIEYXu72-d4qOwPkA7vHTU4J4FYazT7YBBVX6V5bAUQUOSKgbf6q3vK755m1ir8LmIfovBGGaDp-SUbNffHMM25BqZa6JEccXwv5jYIGk99Vdr1b4TvXwnZxoqazbumnjTCoXSHoAYU3CWFS8JAAlMxwKW5Nj1DEaLXgXJQn8Yqvt9g==&amp;uniplatform=OVERSEA&amp;language=CHS</t>
  </si>
  <si>
    <t>g N2O/ kg TN in</t>
  </si>
  <si>
    <t>Jia, S. et al. Spatial and daily variations of nitrous oxide emissions from biological reactors in a full-scale activated sludge anoxic/oxic process. Journal of Bioscience and Bioengineering 127, 333–339, doi:https://doi.org/10.1016/j.jbiosc.2018.08.003 (2019).</t>
  </si>
  <si>
    <t>% TN load</t>
  </si>
  <si>
    <t>Joss, A. et al. Full-Scale Nitrogen Removal from Digester Liquid with Partial Nitritation and Anammox in One SBR. Environmental Science &amp; Technology 43, 5301–5306, doi:https://doi.org/10.1021/es900107w (2009).</t>
  </si>
  <si>
    <t>Kimochi, Y., Inamori, Y., Mizuochi, M., Xu, K.-Q. &amp; Matsumura, M. Nitrogen removal and N2O emission in a full-scale domestic wastewater treatment plant with intermittent aeration. Journal of Fermentation and Bioengineering 86, 202–206, doi:https://doi.org/10.1016/s0922-338x(98)80114-1 (1998).</t>
  </si>
  <si>
    <t>Kosonen, H. et al. Nitrous oxide production at a fully covered wastewater treatment plant: results of a long-term online monitoring campaign. Environmental Science &amp; Technology 50, 5547–5554, doi:https://doi.org/10.1021/acs.est.5b04466 (2016).</t>
  </si>
  <si>
    <t>Kosse, P. et al. Climate change and greenhouse gas emissions within the context of urban wastewater management. (2016). url: https://www.researchgate.net/profile/Pascal-Kosse-2/publication/306119690_Climate_change_and_green-_house_gas_emissions_within_the_context_of_urban_waste_water_management/links/57b2f2de08aeac3177847e9f/Climate-change-and-green-house-gas-emissions-within-the-context-of-urban-waste-water-management.pdf</t>
  </si>
  <si>
    <t>Kuokkanen, A., Blomberg, K., Mikola, A. &amp; Heinonen, M. Unwanted mainstream nitritation–denitritation causing massive N2O emissions in a continuous activated sludge process. Water Science and Technology 83, 2207–2217, doi:https://doi.org/10.2166/wst.2021.127 (2021).</t>
  </si>
  <si>
    <t>kgN2O/d</t>
  </si>
  <si>
    <t>Li, H. et al. N2O generation and emission from two biological nitrogen removal plants in China. Desalination and Water Treatment 57, 11800–11806, doi:https://doi.org/10.1080/19443994.2015.1046145 (2016).</t>
  </si>
  <si>
    <t>Lim, Y. &amp; Kim, D.-J. Quantification method of N2O emission from full-scale biological nutrient removal wastewater treatment plant by laboratory batch reactor analysis. Bioresource Technology 165, 111–115, doi:https://doi.org/10.1016/j.biortech.2014.03.021 (2014).</t>
  </si>
  <si>
    <t>kg N2O/d</t>
  </si>
  <si>
    <t>Values extracted from Figure 4.7; 250000 m3; 30mg/L NH4+</t>
  </si>
  <si>
    <t>Values extracted from Figure 4.6; 150000 m3; 675mg/L COD</t>
  </si>
  <si>
    <t>Lorenzo-Toja, Y. et al. Beyond the conventional life cycle inventory in wastewater treatment plants. Science of The Total Environment 553, 71–82, doi:https://doi.org/10.1016/j.scitotenv.2016.02.073 (2016).</t>
  </si>
  <si>
    <t>Lotito, A.M., Wunderlin, P., Joss, A., Kipf, M. &amp; Siegrist, H. Nitrous oxide emissions from the oxidation tank of a pilot activated sludge plant. Water Research 46, 3563–3573, doi:https://doi.org/10.1016/j.watres.2012.03.067 (2012).</t>
  </si>
  <si>
    <t>% g N2O/ g TN in</t>
  </si>
  <si>
    <t>Maktabifard, M., Blomberg, K., Zaborowska, E., Mikola, A. &amp; Mąkinia, J. Model-based identification of the dominant N2O emission pathway in a full-scale activated sludge system. Journal of Cleaner Production 336, 130347, doi:https://doi.org/10.1016/j.jclepro.2021.130347 (2022).</t>
  </si>
  <si>
    <t>Mannina, G. et al. Greenhouse gas emissions from membrane bioreactors: analysis of a two-year survey on different MBR configurations. Water Science and Technology 78, 896–903, doi:https://doi.org/10.2166/wst.2018.366 (2018).</t>
  </si>
  <si>
    <t>Mannina, G. et al. Nitrous oxide from moving bed based integrated fixed film activated sludge membrane bioreactors. Journal of Environmental Management 187, 96–102, doi:https://doi.org/10.1016/j.jenvman.2016.11.025 (2017).</t>
  </si>
  <si>
    <t>Mannina, G., Capodici, M., Cosenza, A. &amp; Di Trapani, D. Nitrous oxide from integrated fixed-film activated sludge membrane bioreactor: Assessing the influence of operational variables. Bioresource Technology 247, 1221–1227, doi:https://doi.org/10.1016/j.biortech.2017.09.083 (2018).</t>
  </si>
  <si>
    <t>Mannina, G., Capodici, M., Cosenza, A., Di Trapani, D. &amp; van Loosdrecht, M. C. M. Nitrous oxide emission in a University of Cape Town membrane bioreactor: The effect of carbon to nitrogen ratio. Journal of Cleaner Production 149, 180–190, doi:https://doi.org/10.1016/j.jclepro.2017.02.089 (2017).</t>
  </si>
  <si>
    <t>Mannina, G., Morici, C., Cosenza, A., Di Trapani, D. &amp; Ødegaard, H. Greenhouse gases from sequential batch membrane bioreactors: A pilot plant case study. Biochemical Engineering Journal 112, 114–122, doi:https://doi.org/10.1016/j.bej.2016.04.010 (2016).</t>
  </si>
  <si>
    <t>Marinelli, E. et al. Validation of an evidence-based methodology to support regional carbon footprint assessment and decarbonisation of wastewater treatment service in Italy. Water Research 207, 117831, doi:https://doi.org/10.1016/j.watres.2021.117831 (2021).</t>
  </si>
  <si>
    <t>g N2O-N/ kg NH4 removed</t>
  </si>
  <si>
    <t>Marques, R., Rodriguez-Caballero, A., Oehmen, A. &amp; Pijuan, M. Assessment of online monitoring strategies for measuring N2O emissions from full-scale wastewater treatment systems. Water Research 99, 171–179, doi:https://doi.org/10.1016/j.watres.2016.04.052 (2016).</t>
  </si>
  <si>
    <t>The monitoring point device in this study operates normally; it is presumed that the value may be extremely low.</t>
  </si>
  <si>
    <t>Mikola, A. et al. N2O emissions from secondary clarifiers and their contribution to the total emissions of the WWTP. Water Science and Technology 70, 720–728, doi:https://doi.org/10.2166/wst.2014.281 (2014).</t>
  </si>
  <si>
    <t>Miljøstyrelsen. MUDP Lattergaspulje: Dataopsamling på måling og reduktion af lattergasemissioner fra renseanlæg [MUDP nitrous oxide fund: data collection on measurement and reduction of nitrous oxide emissions from wastewater treatment plants]. ISBN 978-87-7038-254-0 (Danish Environmental Protection Agency, Copenhagen, 2020). [in Danish] url: https://www2.mst.dk/Udgiv/publikationer/2020/12/978-87-7038-254-0.pdf</t>
  </si>
  <si>
    <t>Nereda® praktijkonderzoeken 2010-2012. url: https://www.stowa.nl/publicaties/neredar-praktijkonderzoeken-2010-2012 (2013)</t>
  </si>
  <si>
    <t>Ni, B.-J., Pan, Y., van den Akker, B., Ye, L. &amp; Yuan, Z. Full-Scale Modeling Explaining Large Spatial Variations of Nitrous Oxide Fluxes in a Step-Feed Plug-Flow Wastewater Treatment Reactor. Environmental Science &amp; Technology 49, 9176–9184, doi:https://doi.org/10.1021/acs.est.5b02038 (2015).</t>
  </si>
  <si>
    <t>Ni, B.-J., Ye, L., Law, Y., Byers, C. &amp; Yuan, Z. Mathematical Modeling of Nitrous Oxide (N2O) Emissions from Full-Scale Wastewater Treatment Plants. Environmental Science &amp; Technology 47, 7795–7803, doi:https://doi.org/10.1021/es4005398 (2013).</t>
  </si>
  <si>
    <t>Pan, Y. et al. Unravelling the spatial variation of nitrous oxide emissions from a step-feed plug-flow full scale wastewater treatment plant. Scientific Reports 6, 20792, doi:https://doi.org/10.1038/srep20792 (2016).</t>
  </si>
  <si>
    <t>Plouviez, M., Chambonnière, P., Shilton, A., Packer, M. A. &amp; Guieysse, B. Nitrous oxide (N2O) emissions during real domestic wastewater treatment in an outdoor pilot-scale high rate algae pond. Algal Research 44, 101670, doi:https://doi.org/10.1016/j.algal.2019.101670 (2019).</t>
  </si>
  <si>
    <t>Ren, Y. et al. Direct emissions of N2O, CO2, and CH4 from A/A/O bioreactor systems: impact of influent C/N ratio. Environmental Science and Pollution Research 22, 8163–8173, doi:https://doi.org/10.1007/s11356-015-4408-8 (2015).</t>
  </si>
  <si>
    <t>Ribeiro, R. P. et al. Controlling factors of nitrous oxide emissions from a conventional activated sludge wastewater treatment plant. Engevista 17, 375, doi:https://doi.org/10.22409/engevista.v17i3.698 (2015).</t>
  </si>
  <si>
    <t>Ribeiro, R. P. et al. Emissões de óxido nitroso do tanque de aeração de uma estação de tratamento de esgotos com sistema de lodos ativados convencional. Química Nova 36, 998–1003, doi:https://doi.org/10.1590/s0100-40422013000700013 (2013).</t>
  </si>
  <si>
    <t>Ribeiro, R. P. et al. Evaluation of the spatial and temporal variability of nitrous oxide (N2O) emissions at two different full-scale aerobic treatment systems used in the post-treatment of UASB effluents in Brazil. Journal of Environmental Chemical Engineering 9, 104676, doi:https://doi.org/10.1016/j.jece.2020.104676 (2021).</t>
  </si>
  <si>
    <t>Ribeiro, R. P. et al. The response of nitrous oxide emissions to different operating conditions in activated sludge wastewater treatment plants in Southeastern Brazil. Water Science and Technology 76, 2337–2349, doi:https://doi.org/10.2166/wst.2017.399 (2017).</t>
  </si>
  <si>
    <t>g N2O-N / kg NH4-N in</t>
  </si>
  <si>
    <t>Rodriguez-Caballero, A., Aymerich, I., Marques, R., Poch, M. &amp; Pijuan, M. Minimizing N2O emissions and carbon footprint on a full-scale activated sludge sequencing batch reactor. Water Research 71, 1–10, doi:https://doi.org/10.1016/j.watres.2014.12.032 (2015).</t>
  </si>
  <si>
    <t>Values extracted from Figure 5</t>
  </si>
  <si>
    <t>Schulthess, R.V. &amp; Gujer, W. Release of nitrous oxide (N2O) from denitrifying activated sludge: Verification and application of a mathematical model. Water Research 30, 521–530, doi:https://doi.org/10.1016/0043-1354(95)00204-9 (1996).</t>
  </si>
  <si>
    <t>Sieranen, M. et al. Seasonality of nitrous oxide emissions at six full-scale wastewater treatment plants. Water Science &amp; Technology 89, 603–612, doi:https://doi.org/10.2166/wst.2023.420 (2023).</t>
  </si>
  <si>
    <t>Silveira, I. T., Cadee, K. &amp; Bagg, W. Startup and initial operation of an MLE-MABR treating municipal wastewater. Water Science and Technology 85, 1155–1166, doi:https://doi.org/10.2166/wst.2022.045 (2022).</t>
  </si>
  <si>
    <t>Song, M. J. et al. Identification of primary effecters of N2O emissions from full-scale biological nitrogen removal systems using random forest approach. Water Research 184, 116144, doi:https://doi.org/10.1016/j.watres.2020.116144 (2020).</t>
  </si>
  <si>
    <t>Spérandio, M. et al. Evaluation of different nitrous oxide production models with four continuous long-term wastewater treatment process data series. Bioprocess and Biosystems Engineering 39, 493–510, doi:https://doi.org/10.1007/s00449-015-1532-2 (2016).</t>
  </si>
  <si>
    <t>Spinelli, M. et al. Critical analyses of nitrous oxide emissions in a full scale activated sludge system treating low carbon-to-nitrogen ratio wastewater. Journal of Cleaner Production 190, 517–524, doi:https://doi.org/10.1016/j.jclepro.2018.04.178 (2018).</t>
  </si>
  <si>
    <t>Sümer, E., Weiske, A., Benckiser, G. &amp; Ottow, J. C. G. Influence of environmental conditions on the amount of N2O released from activated sludge in a domestic waste water treatment plant. Experientia 51, 419–422, doi:https://doi.org/10.1007/bf01928908 (1995).</t>
  </si>
  <si>
    <t>Sun, S. et al. Reduction and prediction of N2O emission from an Anoxic/Oxic wastewater treatment plant upon DO control and model simulation. Bioresource Technology 244, 800–809, doi:https://doi.org/10.1016/j.biortech.2017.08.054 (2017).</t>
  </si>
  <si>
    <t>Sun, S., Bao, Z. &amp; Sun, D. Study on emission characteristics and reduction strategy of nitrous oxide during wastewater treatment by different processes. Environmental Science and Pollution Research 22, 4222–4229, doi:https://doi.org/10.1007/s11356-014-3654-5 (2015).</t>
  </si>
  <si>
    <t>Sun, S., Cheng, X. &amp; Sun, D. Emission of N2O from a full-scale sequencing batch reactor wastewater treatment plant: Characteristics and influencing factors. International Biodeterioration &amp; Biodegradation 85, 545–549, doi:https://doi.org/10.1016/j.ibiod.2013.03.034 (2013).</t>
  </si>
  <si>
    <t>Sun, S., Cheng, X., Li, S., Qi, F., Liu, Y. &amp; Sun, D. N₂O emission from full-scale urban wastewater treatment plants: a comparison between A²O and SBR. Water Science and Technology 67, 1887–1893, doi:https://doi.org/10.2166/wst.2013.066 (2013).</t>
  </si>
  <si>
    <t>Sun, S.-C. Study on Characteristics and Reduction Strategies of N2O Emission from Typical Urban Wastewater Treatment Processes (CN). MSc thesis (2014). [in Chinese] url: https://oversea.cnki.net/kcms2/article/abstract?v=kHYcgWPeIEYrYCSm-DRy-5_ZPjg8HZb6_6aNCWXSvvKCU9xoUtAQKvdguJT_a7o_as4k573lCOFOeFEO8nOK9r4sOAS551qqP668uSZppItkxx9ooxFzOJBlgJzXTG-OromZQCc7GFme8rzZnLfOdb4bSM0GCzt6cPigzSU8eUgHRIqcWedQ7A==&amp;uniplatform=OVERSEA&amp;language=CHS</t>
  </si>
  <si>
    <t>Thormann, M. &amp; Morck, T. Full-scale experiments to mitigate nitrous oxide emissions in wastewater treatment plants through optimizing aeration strategy. Environmental Technology &amp; Innovation 40, 104469, doi:https://doi.org/10.1016/j.eti.2025.104469 (2025).</t>
  </si>
  <si>
    <t>% g N2O/ g NH4 in</t>
  </si>
  <si>
    <t>Thwaites, B. J. et al. Analysis of nitrous oxide emissions from aerobic granular sludge treating high saline municipal wastewater. Science of The Total Environment 756, 143653, doi:https://doi.org/10.1016/j.scitotenv.2020.143653 (2021).</t>
  </si>
  <si>
    <t>Townsend-Small, A., Pataki, D.E., Tseng, L.Y., Tsai, C.-Y. &amp; Rosso, D. Nitrous oxide emissions from wastewater treatment and water reclamation plants in southern California. Journal of Environmental Quality 40, 1542–1550, doi:https://doi.org/10.2134/jeq2011.0059 (2011).</t>
  </si>
  <si>
    <t>Tsushima, I., Michinaka, A., Matsuhashi, M., Yamashita, H. &amp; Okamoto, S. Nitrous Oxide Emitted from Actual Wastewater Treatment Plants with Different Treatment Methods. Journal of Water and Environment Technology 12, 191–199, doi:https://doi.org/10.2965/jwet.2014.191 (2014).</t>
  </si>
  <si>
    <t>Tu, Q. et al. Long-term effect of sediment on the performance of a pilot-scale duckweed-based waste stabilization pond. Science of The Total Environment 770, 145216, doi:https://doi.org/10.1016/j.scitotenv.2021.145216 (2021).</t>
  </si>
  <si>
    <t>% g N2O-N/ g NH4 removed</t>
  </si>
  <si>
    <t>Tumendelger, A., Toyoda, S. &amp; Yoshida, N. Isotopic analysis of N2O produced in a conventional wastewater treatment system operated under different aeration conditions. Rapid Communications in Mass Spectrometry 28, 1883–1892, doi:https://doi.org/10.1002/rcm.6973 (2014).</t>
  </si>
  <si>
    <t>Valkova, T. et al. A method to estimate the direct nitrous oxide emissions of municipal wastewater treatment plants based on the degree of nitrogen removal. Journal of Environmental Management 279, 111563, doi:https://doi.org/10.1016/j.jenvman.2020.111563 (2021).</t>
  </si>
  <si>
    <t>van den Akker, B., Reid, K., Middlemiss, K. &amp; Krampe, J. Evaluation of granular sludge for secondary treatment of saline municipal sewage. Journal of Environmental Management 157, 139–145, doi:https://doi.org/10.1016/j.jenvman.2015.04.027 (2015).</t>
  </si>
  <si>
    <t>van Dijk, E. J. H., van Loosdrecht, M. C. M. &amp; Pronk, M. Nitrous oxide emission from full-scale municipal aerobic granular sludge. Water Research 198, 117159, doi:https://doi.org/10.1016/j.watres.2021.117159 (2021).</t>
  </si>
  <si>
    <t>Velho, V. F. et al. Effect of COD/N ratio on N2O production during nitrogen removal by aerobic granular sludge. Water Science and Technology 76, 3452–3460, doi:https://doi.org/10.2166/wst.2017.502 (2017).</t>
  </si>
  <si>
    <t>g N2O-N / kg NH4-Nremoved</t>
  </si>
  <si>
    <t>Vieira, A. et al. Nitrous oxide emissions from a full-scale biological aerated filter (BAF) subject to seawater infiltration. Environmental Science and Pollution Research 26, 20939–20948, doi:https://doi.org/10.1007/s11356-019-05470-x (2019).</t>
  </si>
  <si>
    <t>% g N2O-N/ g NH4 in</t>
  </si>
  <si>
    <t>Vieira, A., Galinha, C. F., Oehmen, A. &amp; Carvalho, G. The link between nitrous oxide emissions, microbial community profile and function from three full-scale WWTPs. Science of The Total Environment 651, 2460–2472, doi:https://doi.org/10.1016/j.scitotenv.2018.10.132 (2019).</t>
  </si>
  <si>
    <t>Wang, J. et al. Nitrous oxide emissions from a typical northern Chinese municipal wastewater treatment plant. Desalination and Water Treatment 32, 145–152, doi:https://doi.org/10.5004/dwt.2011.2691 (2011).</t>
  </si>
  <si>
    <t>% kg N2O-N/ kg TN in</t>
  </si>
  <si>
    <t>Wang, Y. et al. Nitric oxide and nitrous oxide emissions from a full-scale activated sludge anaerobic/anoxic/oxic process. Chemical Engineering Journal 289, 330–340, doi:https://doi.org/10.1016/j.cej.2015.12.074 (2016).</t>
  </si>
  <si>
    <t>Wang, Y., Fang, H., Zhou, D., Han, H. &amp; Chen, J. Characterization of nitrous oxide and nitric oxide emissions from a full-scale biological aerated filter for secondary nitrification. Chemical Engineering Journal 299, 304–313, doi:https://doi.org/10.1016/j.cej.2016.04.050 (2016).</t>
  </si>
  <si>
    <t>Wang, Y.-Y., Chen, Y., Zhou, D. et al. Impact of temperature on nitrous oxide emission in a tricking filter. (CN) (2014). [in Chinese] url: https://oversea.cnki.net/kcms2/article/abstract?v=kHYcgWPeIEanlcg4bYi40JgOJP0YirNRaAAmMO7_HRe23sPZoe1UdRDKQVumsENpUgQCinVfUdBU7oVZwO0TPxtTWH98XRZZGssHuPwTqF_tesk03rwf20sBFoMGC8BZQrSPHSashgTPliKORaIWAwsuf9VOxIlflQBmn14KnHdVoe3PN7R2Bg==&amp;uniplatform=OVERSEA&amp;language=CHS</t>
  </si>
  <si>
    <t>Wen, J., LeChevallier, M. W., Tao, W. &amp; Liu, Y. Nitrous oxide emission and microbial community of full-scale anoxic/aerobic membrane bioreactors at low dissolved oxygen setpoints. Journal of Water Process Engineering 38, 101654, doi:https://doi.org/10.1016/j.jwpe.2020.101654 (2020).</t>
  </si>
  <si>
    <t>Winter, P., Pearce, P. &amp; Colquhoun, K. Contribution of nitrous oxide emissions from wastewater treatment to carbon accounting. Journal of Water and Climate Change 3, 95–109, doi:https://doi.org/10.2166/wcc.2012.014 (2012).</t>
  </si>
  <si>
    <t>Xu, X. The carbon footprint analysis of wastewater treatment plants and nitrous oxide emissions from full-scale biological nitrogen removal processes in Spain. Thesis, Massachusetts Institute of Technology. url: https://dspace.mit.edu/handle/1721.1/82862</t>
  </si>
  <si>
    <t>g N2O/ kg TN removed</t>
  </si>
  <si>
    <t>Yapıcıoğlu, P. &amp; Demir, Ö. Environmental performances of the wastewater treatment plants: Green Index. International Journal of Global Warming 21, 1, doi:https://doi.org/10.1504/ijgw.2020.107864 (2020).</t>
  </si>
  <si>
    <t>Ye, L., Ni, B.-J., Law, Y., Byers, C. &amp; Yuan, Z. A novel methodology to quantify nitrous oxide emissions from full-scale wastewater treatment systems with surface aerators. Water Research 48, 257–268, doi:https://doi.org/10.1016/j.watres.2013.09.037 (2014).</t>
  </si>
  <si>
    <t>Zaborowska, E., Lu, X. &amp; Makinia, J. Strategies for mitigating nitrous oxide production and decreasing the carbon footprint of a full-scale combined nitrogen and phosphorus removal activated sludge system. Water Research 162, 53–63, doi:https://doi.org/10.1016/j.watres.2019.06.057 (2019).</t>
  </si>
  <si>
    <t>kg N2O/y</t>
  </si>
  <si>
    <t>Zhou, N. et al. Role of sludge retention time in mitigation of nitrous oxide emission from a pilot-scale oxidation ditch. Bioresource Technology 292, 121961, doi:https://doi.org/10.1016/j.biortech.2019.121961 (2019).</t>
  </si>
  <si>
    <t>CEPT</t>
  </si>
  <si>
    <t>COD removal rate</t>
  </si>
  <si>
    <t>%</t>
  </si>
  <si>
    <t>Set to theoretical value</t>
  </si>
  <si>
    <t>Wan, J., Gu, J., Zhao, Q. &amp; Liu, Y. COD capture: a feasible option towards energy self-sufficient domestic wastewater treatment. Scientific Reports 6, 25054, doi:https://doi.org/10.1038/srep25054 (2016).</t>
  </si>
  <si>
    <t>COD into sludge</t>
  </si>
  <si>
    <t>TN removal (A process)</t>
  </si>
  <si>
    <t>Yang, W., Liu, H., Yao, T., Cao, Q., Zhang, W. &amp; Song, J. Synergizing resource recovery and net-zero emissions in China's wastewater sector. Communications Earth &amp; Environment 7, 320, doi:https://doi.org/10.1038/s43247-026-03346-w (2026).</t>
  </si>
  <si>
    <t>HRAS</t>
  </si>
  <si>
    <t>CH4 EF</t>
  </si>
  <si>
    <t>kg CH4/kg BODin</t>
  </si>
  <si>
    <t>g CH4/g CODrem</t>
  </si>
  <si>
    <t>N2O EF</t>
  </si>
  <si>
    <t>%TNin</t>
  </si>
  <si>
    <t>AnMBR</t>
  </si>
  <si>
    <t>Gouveia, J., Plaza, F., Garralon, G., Fdz-Polanco, F. &amp; Peña, M. Long-term operation of a pilot scale anaerobic membrane bioreactor (AnMBR) for the treatment of municipal wastewater under psychrophilic conditions. Bioresource Technology 185, 225–233, doi:https://doi.org/10.1016/j.biortech.2015.03.002 (2015).</t>
  </si>
  <si>
    <t>g VSS/g CODrem</t>
  </si>
  <si>
    <t>Nm3 CH4/kg tCODremoved</t>
  </si>
  <si>
    <t>87% removal rate</t>
  </si>
  <si>
    <t>PNA</t>
  </si>
  <si>
    <t>TN removal (B process)</t>
  </si>
  <si>
    <t>76.4425878442545</t>
  </si>
  <si>
    <t>Kanders, L., Yang, J.-J., Baresel, C. &amp; Zambrano, J. Full-scale comparison of N₂O emissions from SBR N/DN operation versus one-stage deammonification MBBR treating reject water and optimization with pH set-point. Water Science and Technology 79, 1616–1625, doi:https://doi.org/10.2166/wst.2019.163 (2019).</t>
  </si>
  <si>
    <t>CEPT TN removal</t>
  </si>
  <si>
    <t>Assumed to be the cumulative removal efficiency of two stages</t>
  </si>
  <si>
    <t>HRAS TN removal</t>
  </si>
  <si>
    <t>AnMBR TN removal</t>
  </si>
  <si>
    <t>Hausherr, D., Niederdorfer, R., Bürgmann, H., Lehmann, M. F., Magyar, P., Mohn, J., Morgenroth, E. &amp; Joss, A. Successful year-round mainstream partial nitritation anammox: assessment of effluent quality, performance and N₂O emissions. Water Research X 16, 100145, doi:https://doi.org/10.1016/j.wroa.2022.100145 (2022).</t>
  </si>
  <si>
    <t>Chen, G., Zhang, Y., Wang, X., Chen, F., Lin, L., Ruan, Q., Wang, Y., Wang, F., Cao, W. &amp; Chiang, P. Optimizing of operation strategies of the single-stage partial nitrification-anammox process. Journal of Cleaner Production 256, 120667, doi:https://10.1016/j.jclepro.2020.120667 (2020).</t>
  </si>
  <si>
    <t>Yang, J., Trela, J., Plaza, E. &amp; Tjus, K. N₂O emissions from a one stage partial nitrification/anammox process in moving bed biofilm reactors. Water Science and Technology 68, 144–152, doi:https://doi.org/10.2166/wst.2013.232 (2013).</t>
  </si>
  <si>
    <t>Castro-Barros, C. M., Daelman, M. R. J., Mampaey, K. E., van Loosdrecht, M. C. M. &amp; Volcke, E. I. P. Effect of aeration regime on N₂O emission from partial nitritation-anammox in a full-scale granular sludge reactor. Water Research 68, 793–803, doi:https://doi.org/10.1016/j.watres.2014.10.056 (2015).</t>
  </si>
  <si>
    <t>Fenu, A., Smolders, S., De Gussem, K. &amp; Weemaes, M. Conflicting carbon footprint and energy saving in a side-stream Anammox process. Biochemical Engineering Journal 151, 107336, doi:https://doi.org/10.1016/j.bej.2019.107336 (2019).</t>
  </si>
  <si>
    <t>Schoepp, T., Bousek, J., Beqaj, A., Fiedler, C., Wett, B., Fuchs, W., Ertl, T. &amp; Weissenbacher, N. Nitrous oxide emissions of a mesh separated single stage deammonification reactor. Water Science and Technology 78, 2239–2246, doi:https://doi.org/10.2166/wst.2018.500 (2018).</t>
  </si>
  <si>
    <t>CEPT N2O EF</t>
  </si>
  <si>
    <t>TN is considered to be removed in the A-process before entering the B-process.</t>
  </si>
  <si>
    <t>HRAS N2O EF</t>
  </si>
  <si>
    <t>AnMBR N2O EF</t>
  </si>
  <si>
    <r>
      <rPr>
        <sz val="11"/>
        <rFont val="Times New Roman"/>
        <charset val="134"/>
      </rPr>
      <t xml:space="preserve">Kampschreur, M. J. et al. Dynamics of nitric oxide and nitrous oxide emission during full-scale reject water treatment. </t>
    </r>
    <r>
      <rPr>
        <i/>
        <sz val="11"/>
        <rFont val="Times New Roman"/>
        <charset val="134"/>
      </rPr>
      <t>Water Research</t>
    </r>
    <r>
      <rPr>
        <sz val="11"/>
        <rFont val="Times New Roman"/>
        <charset val="134"/>
      </rPr>
      <t xml:space="preserve"> </t>
    </r>
    <r>
      <rPr>
        <b/>
        <sz val="11"/>
        <rFont val="Times New Roman"/>
        <charset val="134"/>
      </rPr>
      <t>42</t>
    </r>
    <r>
      <rPr>
        <sz val="11"/>
        <rFont val="Times New Roman"/>
        <charset val="134"/>
      </rPr>
      <t>, 812–826 doi: https://doi.org/10.1016/j.watres.2007.08.022 (2008).</t>
    </r>
  </si>
  <si>
    <r>
      <rPr>
        <sz val="11"/>
        <rFont val="Times New Roman"/>
        <charset val="134"/>
      </rPr>
      <t xml:space="preserve">Kampschreur, M. J. et al. Emission of nitrous oxide and nitric oxide from a full-scale single-stage nitritation-anammox reactor. </t>
    </r>
    <r>
      <rPr>
        <i/>
        <sz val="11"/>
        <rFont val="Times New Roman"/>
        <charset val="134"/>
      </rPr>
      <t>Water Science and Technology</t>
    </r>
    <r>
      <rPr>
        <sz val="11"/>
        <rFont val="Times New Roman"/>
        <charset val="134"/>
      </rPr>
      <t xml:space="preserve"> </t>
    </r>
    <r>
      <rPr>
        <b/>
        <sz val="11"/>
        <rFont val="Times New Roman"/>
        <charset val="134"/>
      </rPr>
      <t>60</t>
    </r>
    <r>
      <rPr>
        <sz val="11"/>
        <rFont val="Times New Roman"/>
        <charset val="134"/>
      </rPr>
      <t>, 3211–3217 doi:https://doi.org/10.2166/wst.2009.608 (2009).</t>
    </r>
  </si>
  <si>
    <t>A2O</t>
  </si>
  <si>
    <t>AGS</t>
  </si>
  <si>
    <t>UCT</t>
  </si>
  <si>
    <t>A/O</t>
  </si>
  <si>
    <t>IA</t>
  </si>
  <si>
    <t>Step-feed</t>
  </si>
  <si>
    <t xml:space="preserve">MLE </t>
  </si>
  <si>
    <t>Configurations</t>
  </si>
  <si>
    <t>Screen_Value</t>
  </si>
  <si>
    <t>kept</t>
  </si>
  <si>
    <t>removed_outlier</t>
  </si>
  <si>
    <t/>
  </si>
  <si>
    <t>Anaerobic</t>
  </si>
  <si>
    <t>Pond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</si>
</sst>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00_ "/>
    <numFmt numFmtId="177" formatCode="0.000"/>
  </numFmts>
  <fonts count="27">
    <font>
      <sz val="11"/>
      <color theme="1"/>
      <name val="宋体"/>
      <charset val="134"/>
      <scheme val="minor"/>
    </font>
    <font>
      <sz val="11"/>
      <color theme="1"/>
      <name val="Times New Roman"/>
      <charset val="134"/>
    </font>
    <font>
      <b/>
      <sz val="11"/>
      <name val="Times New Roman"/>
      <charset val="134"/>
    </font>
    <font>
      <b/>
      <sz val="11"/>
      <color theme="1"/>
      <name val="Times New Roman"/>
      <charset val="134"/>
    </font>
    <font>
      <sz val="1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1"/>
      <name val="Times New Roman"/>
      <charset val="134"/>
    </font>
    <font>
      <sz val="11"/>
      <name val="宋体"/>
      <charset val="134"/>
    </font>
    <font>
      <sz val="11"/>
      <name val="SimSun"/>
      <charset val="134"/>
    </font>
  </fonts>
  <fills count="34">
    <fill>
      <patternFill patternType="none"/>
    </fill>
    <fill>
      <patternFill patternType="gray125"/>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3" borderId="12">
      <alignment vertical="center"/>
    </xf>
    <xf numFmtId="0" fontId="7" fillId="0" borderId="0">
      <alignment vertical="center"/>
    </xf>
    <xf numFmtId="0" fontId="8" fillId="0" borderId="0">
      <alignment vertical="center"/>
    </xf>
    <xf numFmtId="0" fontId="9" fillId="0" borderId="0">
      <alignment vertical="center"/>
    </xf>
    <xf numFmtId="0" fontId="10" fillId="0" borderId="13">
      <alignment vertical="center"/>
    </xf>
    <xf numFmtId="0" fontId="11" fillId="0" borderId="13">
      <alignment vertical="center"/>
    </xf>
    <xf numFmtId="0" fontId="12" fillId="0" borderId="14">
      <alignment vertical="center"/>
    </xf>
    <xf numFmtId="0" fontId="12" fillId="0" borderId="0">
      <alignment vertical="center"/>
    </xf>
    <xf numFmtId="0" fontId="13" fillId="4" borderId="15">
      <alignment vertical="center"/>
    </xf>
    <xf numFmtId="0" fontId="14" fillId="5" borderId="16">
      <alignment vertical="center"/>
    </xf>
    <xf numFmtId="0" fontId="15" fillId="5" borderId="15">
      <alignment vertical="center"/>
    </xf>
    <xf numFmtId="0" fontId="16" fillId="6" borderId="17">
      <alignment vertical="center"/>
    </xf>
    <xf numFmtId="0" fontId="17" fillId="0" borderId="18">
      <alignment vertical="center"/>
    </xf>
    <xf numFmtId="0" fontId="18" fillId="0" borderId="19">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3" fillId="11" borderId="0">
      <alignment vertical="center"/>
    </xf>
    <xf numFmtId="0" fontId="23" fillId="12" borderId="0">
      <alignment vertical="center"/>
    </xf>
    <xf numFmtId="0" fontId="22" fillId="13" borderId="0">
      <alignment vertical="center"/>
    </xf>
    <xf numFmtId="0" fontId="22" fillId="14" borderId="0">
      <alignment vertical="center"/>
    </xf>
    <xf numFmtId="0" fontId="23" fillId="15" borderId="0">
      <alignment vertical="center"/>
    </xf>
    <xf numFmtId="0" fontId="23" fillId="16" borderId="0">
      <alignment vertical="center"/>
    </xf>
    <xf numFmtId="0" fontId="22" fillId="17" borderId="0">
      <alignment vertical="center"/>
    </xf>
    <xf numFmtId="0" fontId="22" fillId="18" borderId="0">
      <alignment vertical="center"/>
    </xf>
    <xf numFmtId="0" fontId="23" fillId="19" borderId="0">
      <alignment vertical="center"/>
    </xf>
    <xf numFmtId="0" fontId="23" fillId="20" borderId="0">
      <alignment vertical="center"/>
    </xf>
    <xf numFmtId="0" fontId="22" fillId="21" borderId="0">
      <alignment vertical="center"/>
    </xf>
    <xf numFmtId="0" fontId="22" fillId="22" borderId="0">
      <alignment vertical="center"/>
    </xf>
    <xf numFmtId="0" fontId="23" fillId="23" borderId="0">
      <alignment vertical="center"/>
    </xf>
    <xf numFmtId="0" fontId="23" fillId="24" borderId="0">
      <alignment vertical="center"/>
    </xf>
    <xf numFmtId="0" fontId="22" fillId="25" borderId="0">
      <alignment vertical="center"/>
    </xf>
    <xf numFmtId="0" fontId="22" fillId="26" borderId="0">
      <alignment vertical="center"/>
    </xf>
    <xf numFmtId="0" fontId="23" fillId="27" borderId="0">
      <alignment vertical="center"/>
    </xf>
    <xf numFmtId="0" fontId="23" fillId="28" borderId="0">
      <alignment vertical="center"/>
    </xf>
    <xf numFmtId="0" fontId="22" fillId="29" borderId="0">
      <alignment vertical="center"/>
    </xf>
    <xf numFmtId="0" fontId="22" fillId="30" borderId="0">
      <alignment vertical="center"/>
    </xf>
    <xf numFmtId="0" fontId="23" fillId="31" borderId="0">
      <alignment vertical="center"/>
    </xf>
    <xf numFmtId="0" fontId="23" fillId="32" borderId="0">
      <alignment vertical="center"/>
    </xf>
    <xf numFmtId="0" fontId="22" fillId="33" borderId="0">
      <alignment vertical="center"/>
    </xf>
  </cellStyleXfs>
  <cellXfs count="76">
    <xf numFmtId="0" fontId="0" fillId="0" borderId="0" xfId="0" applyAlignment="1">
      <alignment vertical="center"/>
    </xf>
    <xf numFmtId="0" fontId="1" fillId="0" borderId="0" xfId="0" applyFont="1" applyFill="1" applyAlignment="1"/>
    <xf numFmtId="176" fontId="1" fillId="0" borderId="0" xfId="0" applyNumberFormat="1" applyFont="1" applyFill="1" applyAlignment="1"/>
    <xf numFmtId="0" fontId="1" fillId="0" borderId="0" xfId="0" applyFont="1" applyAlignment="1">
      <alignment vertical="center"/>
    </xf>
    <xf numFmtId="0" fontId="2" fillId="0" borderId="1" xfId="0" applyFont="1" applyFill="1" applyBorder="1" applyAlignment="1">
      <alignment horizontal="center" vertical="top"/>
    </xf>
    <xf numFmtId="176" fontId="2" fillId="0" borderId="1" xfId="0" applyNumberFormat="1" applyFont="1" applyFill="1" applyBorder="1" applyAlignment="1">
      <alignment horizontal="center" vertical="top"/>
    </xf>
    <xf numFmtId="0" fontId="3" fillId="0" borderId="1" xfId="0" applyFont="1" applyFill="1" applyBorder="1" applyAlignment="1"/>
    <xf numFmtId="0" fontId="1" fillId="0" borderId="0" xfId="0" applyFont="1">
      <alignment vertical="center"/>
    </xf>
    <xf numFmtId="176" fontId="1" fillId="0" borderId="0" xfId="0" applyNumberFormat="1" applyFont="1">
      <alignment vertical="center"/>
    </xf>
    <xf numFmtId="0" fontId="1" fillId="2" borderId="0" xfId="0" applyFont="1" applyFill="1" applyAlignment="1">
      <alignment horizontal="center" vertical="center"/>
    </xf>
    <xf numFmtId="176" fontId="1" fillId="2" borderId="0" xfId="0" applyNumberFormat="1" applyFont="1" applyFill="1" applyAlignment="1">
      <alignment horizontal="center" vertical="center"/>
    </xf>
    <xf numFmtId="0" fontId="4" fillId="0" borderId="0" xfId="0" applyFont="1">
      <alignment vertical="center"/>
    </xf>
    <xf numFmtId="0" fontId="4" fillId="0" borderId="0" xfId="0" applyFont="1" applyBorder="1" applyAlignment="1">
      <alignment vertical="center"/>
    </xf>
    <xf numFmtId="176" fontId="4" fillId="0" borderId="0" xfId="0" applyNumberFormat="1" applyFont="1" applyBorder="1" applyAlignment="1">
      <alignment vertical="center"/>
    </xf>
    <xf numFmtId="0" fontId="4" fillId="2" borderId="2" xfId="0" applyFont="1" applyFill="1" applyBorder="1" applyAlignment="1">
      <alignment vertical="center"/>
    </xf>
    <xf numFmtId="0" fontId="4" fillId="2" borderId="3" xfId="0" applyFont="1" applyFill="1" applyBorder="1" applyAlignment="1">
      <alignment vertical="center"/>
    </xf>
    <xf numFmtId="176" fontId="4" fillId="2" borderId="3" xfId="0" applyNumberFormat="1" applyFont="1" applyFill="1" applyBorder="1" applyAlignment="1">
      <alignment vertical="center"/>
    </xf>
    <xf numFmtId="0" fontId="2" fillId="2" borderId="4" xfId="0" applyFont="1" applyFill="1" applyBorder="1">
      <alignment vertical="center"/>
    </xf>
    <xf numFmtId="0" fontId="4" fillId="0" borderId="5" xfId="0" applyFont="1" applyBorder="1" applyAlignment="1">
      <alignment vertical="center"/>
    </xf>
    <xf numFmtId="176" fontId="4" fillId="0" borderId="0" xfId="0" applyNumberFormat="1" applyFont="1" applyFill="1" applyBorder="1" applyAlignment="1" applyProtection="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1" xfId="0" applyFont="1" applyBorder="1" applyAlignment="1">
      <alignment vertical="center"/>
    </xf>
    <xf numFmtId="176" fontId="4" fillId="0" borderId="1" xfId="0" applyNumberFormat="1" applyFont="1" applyBorder="1" applyAlignment="1">
      <alignment vertical="center"/>
    </xf>
    <xf numFmtId="0" fontId="4" fillId="0" borderId="8" xfId="0" applyFont="1" applyBorder="1">
      <alignment vertical="center"/>
    </xf>
    <xf numFmtId="0" fontId="4" fillId="0" borderId="9" xfId="0" applyFont="1" applyBorder="1" applyAlignment="1">
      <alignment vertical="center"/>
    </xf>
    <xf numFmtId="0" fontId="4" fillId="0" borderId="10" xfId="0" applyFont="1" applyBorder="1" applyAlignment="1">
      <alignment vertical="center"/>
    </xf>
    <xf numFmtId="176" fontId="4" fillId="0" borderId="10" xfId="0" applyNumberFormat="1" applyFont="1" applyFill="1" applyBorder="1" applyAlignment="1" applyProtection="1">
      <alignment vertical="center"/>
    </xf>
    <xf numFmtId="176" fontId="4" fillId="0" borderId="10" xfId="0" applyNumberFormat="1" applyFont="1" applyBorder="1" applyAlignment="1">
      <alignment vertical="center"/>
    </xf>
    <xf numFmtId="0" fontId="4" fillId="0" borderId="11" xfId="0" applyFont="1" applyBorder="1" applyAlignment="1">
      <alignment vertical="center"/>
    </xf>
    <xf numFmtId="0" fontId="4" fillId="0" borderId="6" xfId="0" applyFont="1" applyBorder="1">
      <alignment vertical="center"/>
    </xf>
    <xf numFmtId="0" fontId="4" fillId="0" borderId="11" xfId="0" applyFont="1" applyBorder="1">
      <alignment vertical="center"/>
    </xf>
    <xf numFmtId="0" fontId="4" fillId="0" borderId="0" xfId="0" applyFont="1" applyBorder="1">
      <alignment vertical="center"/>
    </xf>
    <xf numFmtId="0" fontId="4" fillId="0" borderId="0" xfId="0" applyFont="1" applyFill="1" applyBorder="1" applyAlignment="1"/>
    <xf numFmtId="0" fontId="4" fillId="0" borderId="1" xfId="0" applyFont="1" applyFill="1" applyBorder="1" applyAlignment="1"/>
    <xf numFmtId="0" fontId="4" fillId="0" borderId="0" xfId="0" applyFont="1" applyFill="1" applyAlignment="1">
      <alignment vertical="center"/>
    </xf>
    <xf numFmtId="0" fontId="4" fillId="0" borderId="0" xfId="0" applyFont="1" applyFill="1">
      <alignment vertical="center"/>
    </xf>
    <xf numFmtId="176" fontId="4" fillId="0" borderId="0" xfId="0" applyNumberFormat="1" applyFont="1" applyFill="1">
      <alignment vertical="center"/>
    </xf>
    <xf numFmtId="0" fontId="2" fillId="2" borderId="0" xfId="0" applyFont="1" applyFill="1" applyBorder="1" applyAlignment="1">
      <alignment horizontal="center" vertical="top"/>
    </xf>
    <xf numFmtId="0" fontId="2" fillId="2" borderId="0" xfId="0" applyFont="1" applyFill="1" applyBorder="1" applyAlignment="1">
      <alignment horizontal="center" vertical="center"/>
    </xf>
    <xf numFmtId="176" fontId="2" fillId="2" borderId="0" xfId="0" applyNumberFormat="1" applyFont="1" applyFill="1" applyBorder="1" applyAlignment="1">
      <alignment horizontal="center" vertical="center"/>
    </xf>
    <xf numFmtId="176" fontId="2" fillId="2" borderId="0" xfId="0" applyNumberFormat="1" applyFont="1" applyFill="1" applyBorder="1" applyAlignment="1">
      <alignment horizontal="center" vertical="top"/>
    </xf>
    <xf numFmtId="0" fontId="4" fillId="0" borderId="0" xfId="0" applyFont="1" applyFill="1" applyAlignment="1"/>
    <xf numFmtId="176" fontId="4" fillId="0" borderId="0" xfId="0" applyNumberFormat="1" applyFont="1" applyFill="1" applyAlignment="1">
      <alignment vertical="center"/>
    </xf>
    <xf numFmtId="177" fontId="4" fillId="0" borderId="0" xfId="0" applyNumberFormat="1" applyFont="1" applyFill="1" applyBorder="1" applyAlignment="1" applyProtection="1">
      <alignment vertical="center"/>
    </xf>
    <xf numFmtId="0" fontId="4" fillId="0" borderId="0" xfId="0" applyNumberFormat="1" applyFont="1" applyFill="1" applyAlignment="1" applyProtection="1">
      <alignment vertical="center"/>
    </xf>
    <xf numFmtId="0" fontId="2" fillId="0" borderId="0" xfId="0" applyFont="1" applyFill="1" applyBorder="1" applyAlignment="1">
      <alignment vertical="center"/>
    </xf>
    <xf numFmtId="0" fontId="4" fillId="0" borderId="0" xfId="0" applyFont="1" applyAlignment="1">
      <alignment vertical="center"/>
    </xf>
    <xf numFmtId="176" fontId="4" fillId="0" borderId="0" xfId="0" applyNumberFormat="1" applyFont="1" applyAlignment="1">
      <alignment vertical="center"/>
    </xf>
    <xf numFmtId="0" fontId="3" fillId="0" borderId="9" xfId="0" applyFont="1" applyFill="1" applyBorder="1" applyAlignment="1">
      <alignmen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3" fillId="0" borderId="5" xfId="0" applyFont="1" applyFill="1" applyBorder="1" applyAlignment="1">
      <alignment vertical="center"/>
    </xf>
    <xf numFmtId="0" fontId="1" fillId="0" borderId="0" xfId="0" applyFont="1" applyAlignment="1">
      <alignment horizontal="left" vertical="center"/>
    </xf>
    <xf numFmtId="0" fontId="1" fillId="0" borderId="6" xfId="0" applyFont="1" applyBorder="1" applyAlignment="1">
      <alignment horizontal="left" vertical="center"/>
    </xf>
    <xf numFmtId="0" fontId="1" fillId="0" borderId="5" xfId="0" applyFont="1" applyBorder="1" applyAlignment="1">
      <alignment vertical="center"/>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vertical="center"/>
    </xf>
    <xf numFmtId="0" fontId="1" fillId="0" borderId="1" xfId="0" applyFont="1" applyBorder="1" applyAlignment="1">
      <alignment horizontal="left" vertical="top" wrapText="1"/>
    </xf>
    <xf numFmtId="0" fontId="1" fillId="0" borderId="8" xfId="0" applyFont="1" applyBorder="1" applyAlignment="1">
      <alignment horizontal="left" vertical="top" wrapText="1"/>
    </xf>
    <xf numFmtId="0" fontId="1" fillId="0" borderId="0" xfId="0" applyFont="1" applyAlignment="1">
      <alignment horizontal="justify" vertical="top"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1" fillId="0" borderId="5" xfId="0" applyFont="1" applyBorder="1" applyAlignment="1">
      <alignment horizontal="left" vertical="top" wrapText="1"/>
    </xf>
    <xf numFmtId="0" fontId="1" fillId="0" borderId="0" xfId="0" applyFont="1" applyBorder="1" applyAlignment="1">
      <alignment vertical="top" wrapText="1"/>
    </xf>
    <xf numFmtId="0" fontId="1" fillId="0" borderId="0" xfId="0" applyFont="1" applyBorder="1" applyAlignment="1">
      <alignment horizontal="justify" vertical="top" wrapText="1"/>
    </xf>
    <xf numFmtId="0" fontId="1" fillId="0" borderId="6" xfId="0" applyFont="1" applyBorder="1" applyAlignment="1">
      <alignment vertical="top" wrapText="1"/>
    </xf>
    <xf numFmtId="0" fontId="1" fillId="0" borderId="0"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horizontal="left" vertical="center"/>
    </xf>
    <xf numFmtId="0" fontId="1" fillId="0" borderId="1" xfId="0" applyFont="1" applyBorder="1" applyAlignment="1">
      <alignment vertical="center"/>
    </xf>
    <xf numFmtId="0" fontId="1" fillId="0" borderId="1" xfId="0" applyFont="1" applyBorder="1" applyAlignment="1">
      <alignment horizontal="justify" vertical="top" wrapText="1"/>
    </xf>
    <xf numFmtId="0" fontId="1" fillId="0" borderId="8" xfId="0" applyFont="1" applyBorder="1" applyAlignment="1">
      <alignment vertical="center"/>
    </xf>
    <xf numFmtId="0" fontId="3" fillId="0" borderId="0" xfId="0" applyFont="1" applyAlignment="1">
      <alignment vertical="center"/>
    </xf>
    <xf numFmtId="176" fontId="4" fillId="0" borderId="10" xfId="0" applyNumberFormat="1" applyFont="1"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doi.org/10.2175/193864710798181584" TargetMode="External"/></Relationships>
</file>

<file path=xl/worksheets/_rels/sheet3.xml.rels><?xml version="1.0" encoding="UTF-8" standalone="yes"?>
<Relationships xmlns="http://schemas.openxmlformats.org/package/2006/relationships"><Relationship Id="rId5" Type="http://schemas.openxmlformats.org/officeDocument/2006/relationships/hyperlink" Target="https://doi.org/10.2166/wst.2013.066" TargetMode="External"/><Relationship Id="rId4" Type="http://schemas.openxmlformats.org/officeDocument/2006/relationships/hyperlink" Target="https://doi.org/10.1016/j.e%EE%80%80coleng.2017.08.037" TargetMode="External"/><Relationship Id="rId3" Type="http://schemas.openxmlformats.org/officeDocument/2006/relationships/hyperlink" Target="https://hal.science/hal-00941253" TargetMode="External"/><Relationship Id="rId2" Type="http://schemas.openxmlformats.org/officeDocument/2006/relationships/hyperlink" Target="https://doi.org/10.2166/wst.2023.420" TargetMode="External"/><Relationship Id="rId1" Type="http://schemas.openxmlformats.org/officeDocument/2006/relationships/hyperlink" Target="https://doi.org/10.2175/193864710798181584"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doi.org/10.2166/wst.2018.500" TargetMode="External"/><Relationship Id="rId8" Type="http://schemas.openxmlformats.org/officeDocument/2006/relationships/hyperlink" Target="https://doi.org/10.1016/j.bej.2019.107336" TargetMode="External"/><Relationship Id="rId7" Type="http://schemas.openxmlformats.org/officeDocument/2006/relationships/hyperlink" Target="https://doi.org/10.1016/j.watres.2014.10.056" TargetMode="External"/><Relationship Id="rId6" Type="http://schemas.openxmlformats.org/officeDocument/2006/relationships/hyperlink" Target="https://doi.org/10.2166/wst.2013.232" TargetMode="External"/><Relationship Id="rId5" Type="http://schemas.openxmlformats.org/officeDocument/2006/relationships/hyperlink" Target="https://doi.org/10.1016/j.jclepro.2020.[%E5%BE%85%E8%A1%A5" TargetMode="External"/><Relationship Id="rId4" Type="http://schemas.openxmlformats.org/officeDocument/2006/relationships/hyperlink" Target="https://doi.org/10.1016/j.wroa.2022.100145" TargetMode="External"/><Relationship Id="rId3" Type="http://schemas.openxmlformats.org/officeDocument/2006/relationships/hyperlink" Target="https://doi.org/10.2166/wst.2019.163" TargetMode="External"/><Relationship Id="rId2" Type="http://schemas.openxmlformats.org/officeDocument/2006/relationships/hyperlink" Target="https://doi.org/10.1016/j.biortech.2015.03.002" TargetMode="External"/><Relationship Id="rId1" Type="http://schemas.openxmlformats.org/officeDocument/2006/relationships/hyperlink" Target="https://doi.org/10.1038/s43247-026-03346-w"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2175/19386471079818158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3"/>
  <sheetViews>
    <sheetView tabSelected="1" workbookViewId="0">
      <selection activeCell="A14" sqref="A14"/>
    </sheetView>
  </sheetViews>
  <sheetFormatPr defaultColWidth="9" defaultRowHeight="15" outlineLevelCol="4"/>
  <cols>
    <col min="1" max="1" width="43.75" style="3" customWidth="1"/>
    <col min="2" max="2" width="21.7583333333333" style="3" customWidth="1"/>
    <col min="3" max="3" width="83.25" style="3" customWidth="1"/>
    <col min="4" max="4" width="40.875" style="3" customWidth="1"/>
    <col min="5" max="5" width="16.025" style="3" customWidth="1"/>
    <col min="6" max="16384" width="9" style="3"/>
  </cols>
  <sheetData>
    <row r="1" s="3" customFormat="1" spans="1:5">
      <c r="A1" s="49" t="s">
        <v>0</v>
      </c>
      <c r="B1" s="50" t="s">
        <v>1</v>
      </c>
      <c r="C1" s="50"/>
      <c r="D1" s="50"/>
      <c r="E1" s="51"/>
    </row>
    <row r="2" s="3" customFormat="1" spans="1:5">
      <c r="A2" s="52" t="s">
        <v>2</v>
      </c>
      <c r="B2" s="53" t="s">
        <v>3</v>
      </c>
      <c r="C2" s="53"/>
      <c r="D2" s="53"/>
      <c r="E2" s="54"/>
    </row>
    <row r="3" s="3" customFormat="1" spans="1:5">
      <c r="A3" s="52" t="s">
        <v>4</v>
      </c>
      <c r="B3" s="53" t="s">
        <v>5</v>
      </c>
      <c r="C3" s="53"/>
      <c r="D3" s="53"/>
      <c r="E3" s="54"/>
    </row>
    <row r="4" s="3" customFormat="1" ht="62" customHeight="1" spans="1:5">
      <c r="A4" s="55"/>
      <c r="B4" s="56" t="s">
        <v>6</v>
      </c>
      <c r="C4" s="56"/>
      <c r="D4" s="56"/>
      <c r="E4" s="57"/>
    </row>
    <row r="5" s="3" customFormat="1" ht="49" customHeight="1" spans="1:5">
      <c r="A5" s="55"/>
      <c r="B5" s="56" t="s">
        <v>7</v>
      </c>
      <c r="C5" s="56"/>
      <c r="D5" s="56"/>
      <c r="E5" s="57"/>
    </row>
    <row r="6" s="3" customFormat="1" ht="32" customHeight="1" spans="1:5">
      <c r="A6" s="55"/>
      <c r="B6" s="56" t="s">
        <v>8</v>
      </c>
      <c r="C6" s="56"/>
      <c r="D6" s="56"/>
      <c r="E6" s="57"/>
    </row>
    <row r="7" s="3" customFormat="1" ht="47" customHeight="1" spans="1:5">
      <c r="A7" s="58"/>
      <c r="B7" s="59" t="s">
        <v>9</v>
      </c>
      <c r="C7" s="59"/>
      <c r="D7" s="59"/>
      <c r="E7" s="60"/>
    </row>
    <row r="8" s="3" customFormat="1" spans="1:5">
      <c r="B8" s="61"/>
      <c r="C8" s="61"/>
      <c r="D8" s="61"/>
      <c r="E8" s="61"/>
    </row>
    <row r="9" s="3" customFormat="1" spans="1:5">
      <c r="A9" s="62" t="s">
        <v>10</v>
      </c>
      <c r="B9" s="63" t="s">
        <v>11</v>
      </c>
      <c r="C9" s="63" t="s">
        <v>12</v>
      </c>
      <c r="D9" s="63" t="s">
        <v>13</v>
      </c>
      <c r="E9" s="64" t="s">
        <v>14</v>
      </c>
    </row>
    <row r="10" s="3" customFormat="1" ht="30" spans="1:5">
      <c r="A10" s="65">
        <v>1</v>
      </c>
      <c r="B10" s="66" t="s">
        <v>15</v>
      </c>
      <c r="C10" s="67" t="s">
        <v>16</v>
      </c>
      <c r="D10" s="66" t="s">
        <v>17</v>
      </c>
      <c r="E10" s="68" t="s">
        <v>18</v>
      </c>
    </row>
    <row r="11" s="3" customFormat="1" ht="30" spans="1:5">
      <c r="A11" s="65">
        <v>2</v>
      </c>
      <c r="B11" s="66" t="s">
        <v>19</v>
      </c>
      <c r="C11" s="67" t="s">
        <v>20</v>
      </c>
      <c r="D11" s="66" t="s">
        <v>21</v>
      </c>
      <c r="E11" s="68" t="s">
        <v>22</v>
      </c>
    </row>
    <row r="12" s="3" customFormat="1" ht="30" spans="1:5">
      <c r="A12" s="65">
        <v>3</v>
      </c>
      <c r="B12" s="66" t="s">
        <v>23</v>
      </c>
      <c r="C12" s="67" t="s">
        <v>24</v>
      </c>
      <c r="D12" s="66" t="s">
        <v>25</v>
      </c>
      <c r="E12" s="68" t="s">
        <v>22</v>
      </c>
    </row>
    <row r="13" s="3" customFormat="1" ht="30" spans="1:5">
      <c r="A13" s="65">
        <v>4</v>
      </c>
      <c r="B13" s="66" t="s">
        <v>26</v>
      </c>
      <c r="C13" s="67" t="s">
        <v>27</v>
      </c>
      <c r="D13" s="66" t="s">
        <v>28</v>
      </c>
      <c r="E13" s="68" t="s">
        <v>29</v>
      </c>
    </row>
    <row r="14" ht="45" spans="1:5">
      <c r="A14" s="65">
        <v>5</v>
      </c>
      <c r="B14" s="69" t="s">
        <v>30</v>
      </c>
      <c r="C14" s="67" t="s">
        <v>31</v>
      </c>
      <c r="D14" s="69" t="s">
        <v>32</v>
      </c>
      <c r="E14" s="70" t="s">
        <v>33</v>
      </c>
    </row>
    <row r="15" ht="45" spans="1:5">
      <c r="A15" s="65">
        <v>6</v>
      </c>
      <c r="B15" s="69" t="s">
        <v>34</v>
      </c>
      <c r="C15" s="67" t="s">
        <v>35</v>
      </c>
      <c r="D15" s="69" t="s">
        <v>36</v>
      </c>
      <c r="E15" s="70" t="s">
        <v>37</v>
      </c>
    </row>
    <row r="16" ht="30" spans="1:5">
      <c r="A16" s="71">
        <v>7</v>
      </c>
      <c r="B16" s="72" t="s">
        <v>38</v>
      </c>
      <c r="C16" s="73" t="s">
        <v>39</v>
      </c>
      <c r="D16" s="72" t="s">
        <v>36</v>
      </c>
      <c r="E16" s="74" t="s">
        <v>37</v>
      </c>
    </row>
    <row r="18" spans="1:2">
      <c r="A18" s="75" t="s">
        <v>40</v>
      </c>
    </row>
    <row r="19" spans="1:2">
      <c r="A19" s="3" t="s">
        <v>41</v>
      </c>
      <c r="B19" s="3" t="s">
        <v>42</v>
      </c>
    </row>
    <row r="20" spans="1:2">
      <c r="A20" s="3" t="s">
        <v>43</v>
      </c>
      <c r="B20" s="3" t="s">
        <v>44</v>
      </c>
    </row>
    <row r="21" spans="1:2">
      <c r="A21" s="3" t="s">
        <v>45</v>
      </c>
      <c r="B21" s="3" t="s">
        <v>46</v>
      </c>
    </row>
    <row r="22" spans="1:2">
      <c r="A22" s="3" t="s">
        <v>47</v>
      </c>
      <c r="B22" s="3" t="s">
        <v>48</v>
      </c>
    </row>
    <row r="23" spans="1:2">
      <c r="A23" s="3" t="s">
        <v>49</v>
      </c>
      <c r="B23" s="3" t="s">
        <v>50</v>
      </c>
    </row>
    <row r="24" spans="1:2">
      <c r="A24" s="3" t="s">
        <v>51</v>
      </c>
      <c r="B24" s="3" t="s">
        <v>52</v>
      </c>
    </row>
    <row r="25" spans="1:2">
      <c r="A25" s="3" t="s">
        <v>53</v>
      </c>
      <c r="B25" s="3" t="s">
        <v>54</v>
      </c>
    </row>
    <row r="26" spans="1:2">
      <c r="A26" s="3" t="s">
        <v>55</v>
      </c>
      <c r="B26" s="3" t="s">
        <v>56</v>
      </c>
    </row>
    <row r="27" spans="1:2">
      <c r="A27" s="3" t="s">
        <v>57</v>
      </c>
      <c r="B27" s="3" t="s">
        <v>58</v>
      </c>
    </row>
    <row r="29" spans="1:2">
      <c r="A29" s="75" t="s">
        <v>59</v>
      </c>
    </row>
    <row r="30" spans="1:2">
      <c r="A30" s="3" t="s">
        <v>41</v>
      </c>
      <c r="B30" s="3" t="s">
        <v>42</v>
      </c>
    </row>
    <row r="31" spans="1:2">
      <c r="A31" s="3" t="s">
        <v>60</v>
      </c>
      <c r="B31" s="3" t="s">
        <v>50</v>
      </c>
    </row>
    <row r="32" spans="1:2">
      <c r="A32" s="3" t="s">
        <v>61</v>
      </c>
      <c r="B32" s="3" t="s">
        <v>62</v>
      </c>
    </row>
    <row r="33" spans="1:2">
      <c r="A33" s="3" t="s">
        <v>63</v>
      </c>
      <c r="B33" s="3" t="s">
        <v>64</v>
      </c>
    </row>
    <row r="34" spans="1:2">
      <c r="A34" s="3" t="s">
        <v>65</v>
      </c>
      <c r="B34" s="3" t="s">
        <v>66</v>
      </c>
    </row>
    <row r="35" spans="1:2">
      <c r="A35" s="3" t="s">
        <v>67</v>
      </c>
      <c r="B35" s="3" t="s">
        <v>68</v>
      </c>
    </row>
    <row r="36" spans="1:2">
      <c r="A36" s="3" t="s">
        <v>53</v>
      </c>
      <c r="B36" s="3" t="s">
        <v>69</v>
      </c>
    </row>
    <row r="37" spans="1:2">
      <c r="A37" s="3" t="s">
        <v>55</v>
      </c>
      <c r="B37" s="3" t="s">
        <v>70</v>
      </c>
    </row>
    <row r="38" spans="1:2">
      <c r="A38" s="3" t="s">
        <v>57</v>
      </c>
      <c r="B38" s="3" t="s">
        <v>58</v>
      </c>
    </row>
    <row r="40" spans="1:2">
      <c r="A40" s="75" t="s">
        <v>71</v>
      </c>
    </row>
    <row r="41" spans="1:2">
      <c r="A41" s="3" t="s">
        <v>72</v>
      </c>
      <c r="B41" s="3" t="s">
        <v>73</v>
      </c>
    </row>
    <row r="42" spans="1:2">
      <c r="A42" s="3" t="s">
        <v>74</v>
      </c>
      <c r="B42" s="3" t="s">
        <v>75</v>
      </c>
    </row>
    <row r="43" spans="1:2">
      <c r="A43" s="3" t="s">
        <v>76</v>
      </c>
      <c r="B43" s="3" t="s">
        <v>77</v>
      </c>
    </row>
    <row r="44" spans="1:2">
      <c r="A44" s="3" t="s">
        <v>45</v>
      </c>
      <c r="B44" s="3" t="s">
        <v>78</v>
      </c>
    </row>
    <row r="45" spans="1:2">
      <c r="A45" s="3" t="s">
        <v>79</v>
      </c>
      <c r="B45" s="3" t="s">
        <v>80</v>
      </c>
    </row>
    <row r="46" spans="1:2">
      <c r="A46" s="3" t="s">
        <v>81</v>
      </c>
      <c r="B46" s="3" t="s">
        <v>82</v>
      </c>
    </row>
    <row r="47" spans="1:2">
      <c r="A47" s="3" t="s">
        <v>55</v>
      </c>
      <c r="B47" s="3" t="s">
        <v>56</v>
      </c>
    </row>
    <row r="48" spans="1:2">
      <c r="A48" s="3" t="s">
        <v>57</v>
      </c>
      <c r="B48" s="3" t="s">
        <v>58</v>
      </c>
    </row>
    <row r="50" spans="1:2">
      <c r="A50" s="75" t="s">
        <v>83</v>
      </c>
    </row>
    <row r="51" spans="1:2">
      <c r="A51" s="3" t="s">
        <v>41</v>
      </c>
      <c r="B51" s="3" t="s">
        <v>84</v>
      </c>
    </row>
    <row r="52" spans="1:2">
      <c r="A52" s="3" t="s">
        <v>85</v>
      </c>
      <c r="B52" s="3" t="s">
        <v>86</v>
      </c>
    </row>
    <row r="53" spans="1:2">
      <c r="A53" s="3" t="s">
        <v>87</v>
      </c>
      <c r="B53" s="3" t="s">
        <v>88</v>
      </c>
    </row>
    <row r="54" spans="1:2">
      <c r="A54" s="3" t="s">
        <v>57</v>
      </c>
      <c r="B54" s="3" t="s">
        <v>58</v>
      </c>
    </row>
    <row r="56" spans="1:2">
      <c r="A56" s="75" t="s">
        <v>89</v>
      </c>
    </row>
    <row r="57" spans="1:2">
      <c r="A57" s="3" t="s">
        <v>41</v>
      </c>
      <c r="B57" s="3" t="s">
        <v>42</v>
      </c>
    </row>
    <row r="58" spans="1:2">
      <c r="A58" s="3" t="s">
        <v>90</v>
      </c>
      <c r="B58" s="3" t="s">
        <v>91</v>
      </c>
    </row>
    <row r="59" spans="1:2">
      <c r="A59" s="3" t="s">
        <v>92</v>
      </c>
      <c r="B59" s="3" t="s">
        <v>93</v>
      </c>
    </row>
    <row r="60" spans="1:2">
      <c r="A60" s="3" t="s">
        <v>94</v>
      </c>
      <c r="B60" s="3" t="s">
        <v>95</v>
      </c>
    </row>
    <row r="61" spans="1:2">
      <c r="A61" s="3" t="s">
        <v>96</v>
      </c>
      <c r="B61" s="3" t="s">
        <v>97</v>
      </c>
    </row>
    <row r="62" spans="1:2">
      <c r="A62" s="3" t="s">
        <v>98</v>
      </c>
      <c r="B62" s="3" t="s">
        <v>99</v>
      </c>
    </row>
    <row r="64" spans="1:2">
      <c r="A64" s="75" t="s">
        <v>100</v>
      </c>
    </row>
    <row r="65" spans="1:2">
      <c r="A65" s="3" t="s">
        <v>41</v>
      </c>
      <c r="B65" s="3" t="s">
        <v>42</v>
      </c>
    </row>
    <row r="66" spans="1:2">
      <c r="A66" s="3" t="s">
        <v>101</v>
      </c>
      <c r="B66" s="3" t="s">
        <v>102</v>
      </c>
    </row>
    <row r="67" spans="1:2">
      <c r="A67" s="3" t="s">
        <v>60</v>
      </c>
      <c r="B67" s="3" t="s">
        <v>103</v>
      </c>
    </row>
    <row r="68" spans="1:2">
      <c r="A68" s="3" t="s">
        <v>104</v>
      </c>
      <c r="B68" s="3" t="s">
        <v>105</v>
      </c>
    </row>
    <row r="69" spans="1:2">
      <c r="A69" s="3" t="s">
        <v>106</v>
      </c>
      <c r="B69" s="3" t="s">
        <v>107</v>
      </c>
    </row>
    <row r="70" spans="1:2">
      <c r="A70" s="3" t="s">
        <v>92</v>
      </c>
      <c r="B70" s="3" t="s">
        <v>93</v>
      </c>
    </row>
    <row r="71" spans="1:2">
      <c r="A71" s="3" t="s">
        <v>94</v>
      </c>
      <c r="B71" s="3" t="s">
        <v>95</v>
      </c>
    </row>
    <row r="72" spans="1:2">
      <c r="A72" s="3" t="s">
        <v>96</v>
      </c>
      <c r="B72" s="3" t="s">
        <v>97</v>
      </c>
    </row>
    <row r="73" spans="1:2">
      <c r="A73" s="3" t="s">
        <v>98</v>
      </c>
      <c r="B73" s="3" t="s">
        <v>99</v>
      </c>
    </row>
  </sheetData>
  <mergeCells count="7">
    <mergeCell ref="B1:E1"/>
    <mergeCell ref="B2:E2"/>
    <mergeCell ref="B3:E3"/>
    <mergeCell ref="B4:E4"/>
    <mergeCell ref="B5:E5"/>
    <mergeCell ref="B6:E6"/>
    <mergeCell ref="B7:E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3"/>
  <sheetViews>
    <sheetView zoomScale="70" zoomScaleNormal="70" workbookViewId="0">
      <selection activeCell="H14" sqref="H14"/>
    </sheetView>
  </sheetViews>
  <sheetFormatPr defaultColWidth="9" defaultRowHeight="15"/>
  <cols>
    <col min="1" max="1" width="15.625" style="47" customWidth="1"/>
    <col min="2" max="2" width="20.725" style="48" customWidth="1"/>
    <col min="3" max="3" width="18.8166666666667" style="47" customWidth="1"/>
    <col min="4" max="4" width="23.875" style="37" customWidth="1"/>
    <col min="5" max="5" width="23.875" style="47" customWidth="1"/>
    <col min="6" max="6" width="20.7083333333333" style="48" customWidth="1"/>
    <col min="7" max="7" width="19.625" style="48" customWidth="1"/>
    <col min="8" max="8" width="208.75" style="47" customWidth="1"/>
    <col min="9" max="9" width="255.625" style="47" customWidth="1"/>
    <col min="10" max="16384" width="9" style="47"/>
  </cols>
  <sheetData>
    <row r="1" s="46" customFormat="1" ht="14.25" spans="1:9">
      <c r="A1" s="38" t="s">
        <v>41</v>
      </c>
      <c r="B1" s="41" t="s">
        <v>43</v>
      </c>
      <c r="C1" s="38" t="s">
        <v>45</v>
      </c>
      <c r="D1" s="41" t="s">
        <v>47</v>
      </c>
      <c r="E1" s="38" t="s">
        <v>49</v>
      </c>
      <c r="F1" s="41" t="s">
        <v>51</v>
      </c>
      <c r="G1" s="41" t="s">
        <v>53</v>
      </c>
      <c r="H1" s="38" t="s">
        <v>55</v>
      </c>
      <c r="I1" s="38" t="s">
        <v>57</v>
      </c>
    </row>
    <row r="2" spans="1:9">
      <c r="A2" s="47" t="s">
        <v>108</v>
      </c>
      <c r="B2" s="48">
        <v>0.07</v>
      </c>
      <c r="C2" s="47" t="s">
        <v>109</v>
      </c>
      <c r="D2" s="37">
        <f>B2/100*2.4</f>
        <v>0.00168</v>
      </c>
      <c r="E2" s="47" t="s">
        <v>110</v>
      </c>
      <c r="F2" s="48">
        <f>D2/0.417</f>
        <v>0.00402877697841727</v>
      </c>
      <c r="I2" s="47" t="s">
        <v>111</v>
      </c>
    </row>
    <row r="3" spans="1:9">
      <c r="A3" s="47" t="s">
        <v>112</v>
      </c>
      <c r="B3" s="48">
        <v>20.27</v>
      </c>
      <c r="C3" s="47" t="s">
        <v>113</v>
      </c>
      <c r="D3" s="48">
        <f>(20.27/28)/397.7*2.4</f>
        <v>0.00436869140414526</v>
      </c>
      <c r="E3" s="47" t="s">
        <v>114</v>
      </c>
      <c r="F3" s="48">
        <f t="shared" ref="F3:F41" si="0">D3</f>
        <v>0.00436869140414526</v>
      </c>
      <c r="H3" s="47" t="s">
        <v>115</v>
      </c>
      <c r="I3" s="47" t="s">
        <v>116</v>
      </c>
    </row>
    <row r="4" spans="1:9">
      <c r="A4" s="47" t="s">
        <v>117</v>
      </c>
      <c r="B4" s="48">
        <v>6.08</v>
      </c>
      <c r="C4" s="47" t="s">
        <v>113</v>
      </c>
      <c r="D4" s="48">
        <f>(6.08/28)/364.8*2.4</f>
        <v>0.00142857142857143</v>
      </c>
      <c r="E4" s="47" t="s">
        <v>114</v>
      </c>
      <c r="F4" s="48">
        <f t="shared" si="0"/>
        <v>0.00142857142857143</v>
      </c>
      <c r="G4" s="48">
        <v>0.79</v>
      </c>
      <c r="H4" s="47" t="s">
        <v>118</v>
      </c>
      <c r="I4" s="47" t="s">
        <v>116</v>
      </c>
    </row>
    <row r="5" spans="1:9">
      <c r="A5" s="47" t="s">
        <v>108</v>
      </c>
      <c r="B5" s="48">
        <v>2800000</v>
      </c>
      <c r="C5" s="47" t="s">
        <v>119</v>
      </c>
      <c r="D5" s="37">
        <f>B5/(761*220*3785.41*365/1000)</f>
        <v>0.0121044456350834</v>
      </c>
      <c r="E5" s="47" t="s">
        <v>114</v>
      </c>
      <c r="F5" s="48">
        <f t="shared" si="0"/>
        <v>0.0121044456350834</v>
      </c>
      <c r="H5" s="47" t="s">
        <v>120</v>
      </c>
      <c r="I5" s="11" t="s">
        <v>121</v>
      </c>
    </row>
    <row r="6" spans="1:9">
      <c r="A6" s="47" t="s">
        <v>108</v>
      </c>
      <c r="B6" s="48">
        <v>86000</v>
      </c>
      <c r="C6" s="47" t="s">
        <v>119</v>
      </c>
      <c r="D6" s="37">
        <f>B6/(245*101*3785.4*365/1000)</f>
        <v>0.00251539591246751</v>
      </c>
      <c r="E6" s="47" t="s">
        <v>114</v>
      </c>
      <c r="F6" s="48">
        <f t="shared" si="0"/>
        <v>0.00251539591246751</v>
      </c>
      <c r="H6" s="47" t="s">
        <v>122</v>
      </c>
      <c r="I6" s="11" t="s">
        <v>121</v>
      </c>
    </row>
    <row r="7" spans="1:9">
      <c r="A7" s="47" t="s">
        <v>108</v>
      </c>
      <c r="B7" s="48">
        <v>60000</v>
      </c>
      <c r="C7" s="47" t="s">
        <v>119</v>
      </c>
      <c r="D7" s="37">
        <f>B7/(27*195*3785.41*365/1000)</f>
        <v>0.00824797024104871</v>
      </c>
      <c r="E7" s="47" t="s">
        <v>114</v>
      </c>
      <c r="F7" s="48">
        <f t="shared" si="0"/>
        <v>0.00824797024104871</v>
      </c>
      <c r="H7" s="47" t="s">
        <v>123</v>
      </c>
      <c r="I7" s="11" t="s">
        <v>121</v>
      </c>
    </row>
    <row r="8" spans="1:9">
      <c r="A8" s="47" t="s">
        <v>108</v>
      </c>
      <c r="B8" s="48">
        <v>0.00164</v>
      </c>
      <c r="C8" s="47" t="s">
        <v>124</v>
      </c>
      <c r="D8" s="48">
        <f>B8*2.4</f>
        <v>0.003936</v>
      </c>
      <c r="E8" s="47" t="s">
        <v>114</v>
      </c>
      <c r="F8" s="48">
        <f t="shared" si="0"/>
        <v>0.003936</v>
      </c>
      <c r="G8" s="48">
        <f>0.0359/0.26</f>
        <v>0.138076923076923</v>
      </c>
      <c r="I8" s="47" t="s">
        <v>125</v>
      </c>
    </row>
    <row r="9" spans="1:9">
      <c r="A9" s="47" t="s">
        <v>108</v>
      </c>
      <c r="B9" s="48">
        <v>0.00235</v>
      </c>
      <c r="C9" s="47" t="s">
        <v>124</v>
      </c>
      <c r="D9" s="48">
        <f>B9*2.4</f>
        <v>0.00564</v>
      </c>
      <c r="E9" s="47" t="s">
        <v>114</v>
      </c>
      <c r="F9" s="48">
        <f t="shared" si="0"/>
        <v>0.00564</v>
      </c>
      <c r="G9" s="48">
        <f>0.0606/0.453</f>
        <v>0.133774834437086</v>
      </c>
      <c r="I9" s="47" t="s">
        <v>125</v>
      </c>
    </row>
    <row r="10" spans="1:9">
      <c r="A10" s="47" t="s">
        <v>126</v>
      </c>
      <c r="B10" s="48">
        <v>0.00276</v>
      </c>
      <c r="C10" s="47" t="s">
        <v>127</v>
      </c>
      <c r="D10" s="37">
        <f>B10*2.4*0.9</f>
        <v>0.0059616</v>
      </c>
      <c r="E10" s="47" t="s">
        <v>114</v>
      </c>
      <c r="F10" s="48">
        <f t="shared" si="0"/>
        <v>0.0059616</v>
      </c>
      <c r="G10" s="48">
        <v>0.036</v>
      </c>
      <c r="I10" s="47" t="s">
        <v>128</v>
      </c>
    </row>
    <row r="11" spans="1:9">
      <c r="A11" s="47" t="s">
        <v>126</v>
      </c>
      <c r="B11" s="48">
        <v>0.0095</v>
      </c>
      <c r="C11" s="47" t="s">
        <v>127</v>
      </c>
      <c r="D11" s="37">
        <f>B11*2.4*0.9</f>
        <v>0.02052</v>
      </c>
      <c r="E11" s="47" t="s">
        <v>114</v>
      </c>
      <c r="F11" s="48">
        <f t="shared" si="0"/>
        <v>0.02052</v>
      </c>
      <c r="G11" s="48">
        <v>0.543</v>
      </c>
      <c r="I11" s="47" t="s">
        <v>128</v>
      </c>
    </row>
    <row r="12" spans="1:9">
      <c r="A12" s="47" t="s">
        <v>108</v>
      </c>
      <c r="B12" s="48">
        <v>430000</v>
      </c>
      <c r="C12" s="47" t="s">
        <v>129</v>
      </c>
      <c r="D12" s="48">
        <f>B12/(4600000*250*365/1000)</f>
        <v>0.00102441929720071</v>
      </c>
      <c r="E12" s="47" t="s">
        <v>114</v>
      </c>
      <c r="F12" s="48">
        <f t="shared" si="0"/>
        <v>0.00102441929720071</v>
      </c>
      <c r="H12" s="47" t="s">
        <v>130</v>
      </c>
      <c r="I12" s="47" t="s">
        <v>131</v>
      </c>
    </row>
    <row r="13" spans="1:9">
      <c r="A13" s="47" t="s">
        <v>108</v>
      </c>
      <c r="B13" s="48">
        <v>430000</v>
      </c>
      <c r="C13" s="47" t="s">
        <v>129</v>
      </c>
      <c r="D13" s="48">
        <f>B13/(2000000*250*365/1000)</f>
        <v>0.00235616438356164</v>
      </c>
      <c r="E13" s="47" t="s">
        <v>114</v>
      </c>
      <c r="F13" s="48">
        <f t="shared" si="0"/>
        <v>0.00235616438356164</v>
      </c>
      <c r="H13" s="47" t="s">
        <v>132</v>
      </c>
      <c r="I13" s="47" t="s">
        <v>131</v>
      </c>
    </row>
    <row r="14" spans="1:9">
      <c r="A14" s="47" t="s">
        <v>108</v>
      </c>
      <c r="B14" s="48">
        <v>1.1</v>
      </c>
      <c r="C14" s="47" t="s">
        <v>109</v>
      </c>
      <c r="D14" s="37">
        <f t="shared" ref="D14:D36" si="1">B14/100*2.4</f>
        <v>0.0264</v>
      </c>
      <c r="E14" s="47" t="s">
        <v>114</v>
      </c>
      <c r="F14" s="48">
        <f t="shared" si="0"/>
        <v>0.0264</v>
      </c>
      <c r="I14" s="47" t="s">
        <v>133</v>
      </c>
    </row>
    <row r="15" spans="1:9">
      <c r="A15" s="47" t="s">
        <v>108</v>
      </c>
      <c r="B15" s="48">
        <v>1.13</v>
      </c>
      <c r="C15" s="47" t="s">
        <v>109</v>
      </c>
      <c r="D15" s="37">
        <f t="shared" si="1"/>
        <v>0.02712</v>
      </c>
      <c r="E15" s="47" t="s">
        <v>114</v>
      </c>
      <c r="F15" s="48">
        <f t="shared" si="0"/>
        <v>0.02712</v>
      </c>
      <c r="I15" s="47" t="s">
        <v>134</v>
      </c>
    </row>
    <row r="16" spans="1:9">
      <c r="A16" s="47" t="s">
        <v>112</v>
      </c>
      <c r="B16" s="48">
        <v>1.5</v>
      </c>
      <c r="C16" s="47" t="s">
        <v>109</v>
      </c>
      <c r="D16" s="37">
        <f t="shared" si="1"/>
        <v>0.036</v>
      </c>
      <c r="E16" s="47" t="s">
        <v>114</v>
      </c>
      <c r="F16" s="48">
        <f t="shared" si="0"/>
        <v>0.036</v>
      </c>
      <c r="I16" s="47" t="s">
        <v>135</v>
      </c>
    </row>
    <row r="17" spans="1:9">
      <c r="A17" s="47" t="s">
        <v>112</v>
      </c>
      <c r="B17" s="48">
        <v>0.8</v>
      </c>
      <c r="C17" s="47" t="s">
        <v>109</v>
      </c>
      <c r="D17" s="37">
        <f t="shared" si="1"/>
        <v>0.0192</v>
      </c>
      <c r="E17" s="47" t="s">
        <v>114</v>
      </c>
      <c r="F17" s="48">
        <f t="shared" si="0"/>
        <v>0.0192</v>
      </c>
      <c r="I17" s="47" t="s">
        <v>135</v>
      </c>
    </row>
    <row r="18" spans="1:9">
      <c r="A18" s="47" t="s">
        <v>112</v>
      </c>
      <c r="B18" s="48">
        <v>0.5</v>
      </c>
      <c r="C18" s="47" t="s">
        <v>109</v>
      </c>
      <c r="D18" s="37">
        <f t="shared" si="1"/>
        <v>0.012</v>
      </c>
      <c r="E18" s="47" t="s">
        <v>114</v>
      </c>
      <c r="F18" s="48">
        <f t="shared" si="0"/>
        <v>0.012</v>
      </c>
      <c r="I18" s="47" t="s">
        <v>135</v>
      </c>
    </row>
    <row r="19" spans="1:9">
      <c r="A19" s="47" t="s">
        <v>112</v>
      </c>
      <c r="B19" s="48">
        <v>1.1</v>
      </c>
      <c r="C19" s="47" t="s">
        <v>109</v>
      </c>
      <c r="D19" s="37">
        <f t="shared" si="1"/>
        <v>0.0264</v>
      </c>
      <c r="E19" s="47" t="s">
        <v>114</v>
      </c>
      <c r="F19" s="48">
        <f t="shared" si="0"/>
        <v>0.0264</v>
      </c>
      <c r="I19" s="47" t="s">
        <v>135</v>
      </c>
    </row>
    <row r="20" spans="1:9">
      <c r="A20" s="47" t="s">
        <v>136</v>
      </c>
      <c r="B20" s="48">
        <v>0.8</v>
      </c>
      <c r="C20" s="47" t="s">
        <v>109</v>
      </c>
      <c r="D20" s="37">
        <f t="shared" si="1"/>
        <v>0.0192</v>
      </c>
      <c r="E20" s="47" t="s">
        <v>114</v>
      </c>
      <c r="F20" s="48">
        <f t="shared" si="0"/>
        <v>0.0192</v>
      </c>
      <c r="I20" s="47" t="s">
        <v>135</v>
      </c>
    </row>
    <row r="21" spans="1:9">
      <c r="A21" s="47" t="s">
        <v>136</v>
      </c>
      <c r="B21" s="48">
        <v>0.4</v>
      </c>
      <c r="C21" s="47" t="s">
        <v>109</v>
      </c>
      <c r="D21" s="37">
        <f t="shared" si="1"/>
        <v>0.0096</v>
      </c>
      <c r="E21" s="47" t="s">
        <v>114</v>
      </c>
      <c r="F21" s="48">
        <f t="shared" si="0"/>
        <v>0.0096</v>
      </c>
      <c r="I21" s="47" t="s">
        <v>135</v>
      </c>
    </row>
    <row r="22" spans="1:9">
      <c r="A22" s="47" t="s">
        <v>136</v>
      </c>
      <c r="B22" s="48">
        <v>0.2</v>
      </c>
      <c r="C22" s="47" t="s">
        <v>109</v>
      </c>
      <c r="D22" s="37">
        <f t="shared" si="1"/>
        <v>0.0048</v>
      </c>
      <c r="E22" s="47" t="s">
        <v>114</v>
      </c>
      <c r="F22" s="48">
        <f t="shared" si="0"/>
        <v>0.0048</v>
      </c>
      <c r="I22" s="47" t="s">
        <v>135</v>
      </c>
    </row>
    <row r="23" spans="1:9">
      <c r="A23" s="47" t="s">
        <v>136</v>
      </c>
      <c r="B23" s="48">
        <v>0.2</v>
      </c>
      <c r="C23" s="47" t="s">
        <v>109</v>
      </c>
      <c r="D23" s="37">
        <f t="shared" si="1"/>
        <v>0.0048</v>
      </c>
      <c r="E23" s="47" t="s">
        <v>114</v>
      </c>
      <c r="F23" s="48">
        <f t="shared" si="0"/>
        <v>0.0048</v>
      </c>
      <c r="I23" s="47" t="s">
        <v>135</v>
      </c>
    </row>
    <row r="24" spans="1:9">
      <c r="A24" s="47" t="s">
        <v>108</v>
      </c>
      <c r="B24" s="48">
        <v>1.7</v>
      </c>
      <c r="C24" s="47" t="s">
        <v>109</v>
      </c>
      <c r="D24" s="37">
        <f t="shared" si="1"/>
        <v>0.0408</v>
      </c>
      <c r="E24" s="47" t="s">
        <v>114</v>
      </c>
      <c r="F24" s="48">
        <f t="shared" si="0"/>
        <v>0.0408</v>
      </c>
      <c r="I24" s="47" t="s">
        <v>135</v>
      </c>
    </row>
    <row r="25" spans="1:9">
      <c r="A25" s="47" t="s">
        <v>108</v>
      </c>
      <c r="B25" s="48">
        <v>0.9</v>
      </c>
      <c r="C25" s="47" t="s">
        <v>109</v>
      </c>
      <c r="D25" s="37">
        <f t="shared" si="1"/>
        <v>0.0216</v>
      </c>
      <c r="E25" s="47" t="s">
        <v>114</v>
      </c>
      <c r="F25" s="48">
        <f t="shared" si="0"/>
        <v>0.0216</v>
      </c>
      <c r="I25" s="47" t="s">
        <v>135</v>
      </c>
    </row>
    <row r="26" spans="1:9">
      <c r="A26" s="47" t="s">
        <v>108</v>
      </c>
      <c r="B26" s="48">
        <v>1.2</v>
      </c>
      <c r="C26" s="47" t="s">
        <v>109</v>
      </c>
      <c r="D26" s="37">
        <f t="shared" si="1"/>
        <v>0.0288</v>
      </c>
      <c r="E26" s="47" t="s">
        <v>114</v>
      </c>
      <c r="F26" s="48">
        <f t="shared" si="0"/>
        <v>0.0288</v>
      </c>
      <c r="I26" s="47" t="s">
        <v>135</v>
      </c>
    </row>
    <row r="27" spans="1:9">
      <c r="A27" s="47" t="s">
        <v>136</v>
      </c>
      <c r="B27" s="48">
        <v>3.2</v>
      </c>
      <c r="C27" s="47" t="s">
        <v>109</v>
      </c>
      <c r="D27" s="37">
        <f t="shared" si="1"/>
        <v>0.0768</v>
      </c>
      <c r="E27" s="47" t="s">
        <v>114</v>
      </c>
      <c r="F27" s="48">
        <f t="shared" si="0"/>
        <v>0.0768</v>
      </c>
      <c r="I27" s="47" t="s">
        <v>135</v>
      </c>
    </row>
    <row r="28" spans="1:9">
      <c r="A28" s="47" t="s">
        <v>136</v>
      </c>
      <c r="B28" s="48">
        <v>1.1</v>
      </c>
      <c r="C28" s="47" t="s">
        <v>109</v>
      </c>
      <c r="D28" s="37">
        <f t="shared" si="1"/>
        <v>0.0264</v>
      </c>
      <c r="E28" s="47" t="s">
        <v>114</v>
      </c>
      <c r="F28" s="48">
        <f t="shared" si="0"/>
        <v>0.0264</v>
      </c>
      <c r="I28" s="47" t="s">
        <v>135</v>
      </c>
    </row>
    <row r="29" spans="1:9">
      <c r="A29" s="47" t="s">
        <v>136</v>
      </c>
      <c r="B29" s="48">
        <v>0.9</v>
      </c>
      <c r="C29" s="47" t="s">
        <v>109</v>
      </c>
      <c r="D29" s="37">
        <f t="shared" si="1"/>
        <v>0.0216</v>
      </c>
      <c r="E29" s="47" t="s">
        <v>114</v>
      </c>
      <c r="F29" s="48">
        <f t="shared" si="0"/>
        <v>0.0216</v>
      </c>
      <c r="I29" s="47" t="s">
        <v>135</v>
      </c>
    </row>
    <row r="30" spans="1:9">
      <c r="A30" s="47" t="s">
        <v>137</v>
      </c>
      <c r="B30" s="48">
        <v>0.03</v>
      </c>
      <c r="C30" s="47" t="s">
        <v>109</v>
      </c>
      <c r="D30" s="37">
        <f t="shared" si="1"/>
        <v>0.00072</v>
      </c>
      <c r="E30" s="47" t="s">
        <v>114</v>
      </c>
      <c r="F30" s="48">
        <f t="shared" si="0"/>
        <v>0.00072</v>
      </c>
      <c r="I30" s="47" t="s">
        <v>135</v>
      </c>
    </row>
    <row r="31" spans="1:9">
      <c r="A31" s="47" t="s">
        <v>137</v>
      </c>
      <c r="B31" s="48">
        <v>0.5</v>
      </c>
      <c r="C31" s="47" t="s">
        <v>109</v>
      </c>
      <c r="D31" s="37">
        <f t="shared" si="1"/>
        <v>0.012</v>
      </c>
      <c r="E31" s="47" t="s">
        <v>114</v>
      </c>
      <c r="F31" s="48">
        <f t="shared" si="0"/>
        <v>0.012</v>
      </c>
      <c r="I31" s="47" t="s">
        <v>135</v>
      </c>
    </row>
    <row r="32" spans="1:9">
      <c r="A32" s="47" t="s">
        <v>137</v>
      </c>
      <c r="B32" s="48">
        <v>0.6</v>
      </c>
      <c r="C32" s="47" t="s">
        <v>109</v>
      </c>
      <c r="D32" s="37">
        <f t="shared" si="1"/>
        <v>0.0144</v>
      </c>
      <c r="E32" s="47" t="s">
        <v>114</v>
      </c>
      <c r="F32" s="48">
        <f t="shared" si="0"/>
        <v>0.0144</v>
      </c>
      <c r="I32" s="47" t="s">
        <v>135</v>
      </c>
    </row>
    <row r="33" spans="1:9">
      <c r="A33" s="47" t="s">
        <v>137</v>
      </c>
      <c r="B33" s="48">
        <v>0.2</v>
      </c>
      <c r="C33" s="47" t="s">
        <v>109</v>
      </c>
      <c r="D33" s="37">
        <f t="shared" si="1"/>
        <v>0.0048</v>
      </c>
      <c r="E33" s="47" t="s">
        <v>114</v>
      </c>
      <c r="F33" s="48">
        <f t="shared" si="0"/>
        <v>0.0048</v>
      </c>
      <c r="I33" s="47" t="s">
        <v>135</v>
      </c>
    </row>
    <row r="34" spans="1:9">
      <c r="A34" s="47" t="s">
        <v>137</v>
      </c>
      <c r="B34" s="48">
        <v>0.2</v>
      </c>
      <c r="C34" s="47" t="s">
        <v>109</v>
      </c>
      <c r="D34" s="37">
        <f t="shared" si="1"/>
        <v>0.0048</v>
      </c>
      <c r="E34" s="47" t="s">
        <v>114</v>
      </c>
      <c r="F34" s="48">
        <f t="shared" si="0"/>
        <v>0.0048</v>
      </c>
      <c r="I34" s="47" t="s">
        <v>135</v>
      </c>
    </row>
    <row r="35" spans="1:9">
      <c r="A35" s="47" t="s">
        <v>137</v>
      </c>
      <c r="B35" s="48">
        <v>0.1</v>
      </c>
      <c r="C35" s="47" t="s">
        <v>109</v>
      </c>
      <c r="D35" s="37">
        <f t="shared" si="1"/>
        <v>0.0024</v>
      </c>
      <c r="E35" s="47" t="s">
        <v>114</v>
      </c>
      <c r="F35" s="48">
        <f t="shared" si="0"/>
        <v>0.0024</v>
      </c>
      <c r="I35" s="47" t="s">
        <v>135</v>
      </c>
    </row>
    <row r="36" spans="1:9">
      <c r="A36" s="47" t="s">
        <v>137</v>
      </c>
      <c r="B36" s="48">
        <v>0.3</v>
      </c>
      <c r="C36" s="47" t="s">
        <v>109</v>
      </c>
      <c r="D36" s="37">
        <f t="shared" si="1"/>
        <v>0.0072</v>
      </c>
      <c r="E36" s="47" t="s">
        <v>114</v>
      </c>
      <c r="F36" s="48">
        <f t="shared" si="0"/>
        <v>0.0072</v>
      </c>
      <c r="I36" s="47" t="s">
        <v>135</v>
      </c>
    </row>
    <row r="37" spans="1:9">
      <c r="A37" s="47" t="s">
        <v>137</v>
      </c>
      <c r="B37" s="48">
        <v>3.68</v>
      </c>
      <c r="C37" s="47" t="s">
        <v>119</v>
      </c>
      <c r="D37" s="37">
        <f>B37/1600</f>
        <v>0.0023</v>
      </c>
      <c r="E37" s="47" t="s">
        <v>114</v>
      </c>
      <c r="F37" s="48">
        <v>0.0023</v>
      </c>
      <c r="G37" s="47"/>
      <c r="I37" s="45" t="s">
        <v>138</v>
      </c>
    </row>
    <row r="38" spans="1:9">
      <c r="A38" s="47" t="s">
        <v>137</v>
      </c>
      <c r="B38" s="48">
        <v>12.45</v>
      </c>
      <c r="C38" s="47" t="s">
        <v>119</v>
      </c>
      <c r="D38" s="37">
        <f>B38/2851</f>
        <v>0.00436688881094353</v>
      </c>
      <c r="E38" s="47" t="s">
        <v>114</v>
      </c>
      <c r="F38" s="48">
        <v>0.00436688881094353</v>
      </c>
      <c r="I38" s="45" t="s">
        <v>138</v>
      </c>
    </row>
    <row r="39" spans="1:9">
      <c r="A39" s="47" t="s">
        <v>137</v>
      </c>
      <c r="B39" s="48">
        <v>47.09</v>
      </c>
      <c r="C39" s="47" t="s">
        <v>119</v>
      </c>
      <c r="D39" s="37">
        <f>B39/1331</f>
        <v>0.0353794139744553</v>
      </c>
      <c r="E39" s="47" t="s">
        <v>114</v>
      </c>
      <c r="F39" s="48">
        <v>0.0353794139744553</v>
      </c>
      <c r="I39" s="45" t="s">
        <v>138</v>
      </c>
    </row>
    <row r="40" spans="1:9">
      <c r="A40" s="47" t="s">
        <v>137</v>
      </c>
      <c r="B40" s="48">
        <v>116.44</v>
      </c>
      <c r="C40" s="47" t="s">
        <v>119</v>
      </c>
      <c r="D40" s="37">
        <f>B40/11397</f>
        <v>0.0102167236992191</v>
      </c>
      <c r="E40" s="47" t="s">
        <v>114</v>
      </c>
      <c r="F40" s="48">
        <v>0.0102167236992191</v>
      </c>
      <c r="I40" s="45" t="s">
        <v>138</v>
      </c>
    </row>
    <row r="41" spans="1:9">
      <c r="A41" s="47" t="s">
        <v>137</v>
      </c>
      <c r="B41" s="48">
        <v>28.36</v>
      </c>
      <c r="C41" s="47" t="s">
        <v>119</v>
      </c>
      <c r="D41" s="37">
        <f>B41/2077</f>
        <v>0.013654309099663</v>
      </c>
      <c r="E41" s="47" t="s">
        <v>114</v>
      </c>
      <c r="F41" s="48">
        <v>0.013654309099663</v>
      </c>
      <c r="I41" s="45" t="s">
        <v>138</v>
      </c>
    </row>
    <row r="42" spans="1:9">
      <c r="A42" s="47" t="s">
        <v>137</v>
      </c>
      <c r="B42" s="48">
        <v>16.75</v>
      </c>
      <c r="C42" s="47" t="s">
        <v>119</v>
      </c>
      <c r="D42" s="37">
        <f>B42/2405</f>
        <v>0.00696465696465697</v>
      </c>
      <c r="E42" s="47" t="s">
        <v>114</v>
      </c>
      <c r="F42" s="48">
        <v>0.00696465696465697</v>
      </c>
      <c r="I42" s="45" t="s">
        <v>138</v>
      </c>
    </row>
    <row r="43" spans="1:9">
      <c r="A43" s="47" t="s">
        <v>137</v>
      </c>
      <c r="B43" s="48">
        <v>43.07</v>
      </c>
      <c r="C43" s="47" t="s">
        <v>119</v>
      </c>
      <c r="D43" s="37">
        <f>B43/4887</f>
        <v>0.00881317781870268</v>
      </c>
      <c r="E43" s="47" t="s">
        <v>114</v>
      </c>
      <c r="F43" s="48">
        <v>0.00881317781870268</v>
      </c>
      <c r="I43" s="45" t="s">
        <v>138</v>
      </c>
    </row>
    <row r="44" spans="1:9">
      <c r="A44" s="47" t="s">
        <v>137</v>
      </c>
      <c r="B44" s="48">
        <v>76.65</v>
      </c>
      <c r="C44" s="47" t="s">
        <v>119</v>
      </c>
      <c r="D44" s="37">
        <f>B44/5403</f>
        <v>0.0141865630205441</v>
      </c>
      <c r="E44" s="47" t="s">
        <v>114</v>
      </c>
      <c r="F44" s="48">
        <v>0.0141865630205441</v>
      </c>
      <c r="I44" s="45" t="s">
        <v>138</v>
      </c>
    </row>
    <row r="45" spans="1:9">
      <c r="A45" s="47" t="s">
        <v>137</v>
      </c>
      <c r="B45" s="48">
        <v>471.03</v>
      </c>
      <c r="C45" s="47" t="s">
        <v>119</v>
      </c>
      <c r="D45" s="37">
        <f>B45/22090</f>
        <v>0.0213232231779086</v>
      </c>
      <c r="E45" s="47" t="s">
        <v>114</v>
      </c>
      <c r="F45" s="48">
        <v>0.0213232231779086</v>
      </c>
      <c r="I45" s="45" t="s">
        <v>138</v>
      </c>
    </row>
    <row r="46" spans="1:9">
      <c r="A46" s="47" t="s">
        <v>137</v>
      </c>
      <c r="B46" s="48">
        <v>62.43</v>
      </c>
      <c r="C46" s="47" t="s">
        <v>119</v>
      </c>
      <c r="D46" s="37">
        <f>B46/1960</f>
        <v>0.0318520408163265</v>
      </c>
      <c r="E46" s="47" t="s">
        <v>114</v>
      </c>
      <c r="F46" s="48">
        <v>0.0318520408163265</v>
      </c>
      <c r="I46" s="45" t="s">
        <v>138</v>
      </c>
    </row>
    <row r="47" spans="1:9">
      <c r="A47" s="47" t="s">
        <v>137</v>
      </c>
      <c r="B47" s="48">
        <v>20.52</v>
      </c>
      <c r="C47" s="47" t="s">
        <v>119</v>
      </c>
      <c r="D47" s="37">
        <f>B47/715</f>
        <v>0.0286993006993007</v>
      </c>
      <c r="E47" s="47" t="s">
        <v>114</v>
      </c>
      <c r="F47" s="48">
        <v>0.0286993006993007</v>
      </c>
      <c r="I47" s="45" t="s">
        <v>138</v>
      </c>
    </row>
    <row r="48" spans="1:9">
      <c r="A48" s="47" t="s">
        <v>137</v>
      </c>
      <c r="B48" s="48">
        <v>144.07</v>
      </c>
      <c r="C48" s="47" t="s">
        <v>119</v>
      </c>
      <c r="D48" s="37">
        <f>B48/4090</f>
        <v>0.0352249388753056</v>
      </c>
      <c r="E48" s="47" t="s">
        <v>114</v>
      </c>
      <c r="F48" s="48">
        <v>0.0352249388753056</v>
      </c>
      <c r="I48" s="45" t="s">
        <v>138</v>
      </c>
    </row>
    <row r="49" spans="1:9">
      <c r="A49" s="47" t="s">
        <v>139</v>
      </c>
      <c r="B49" s="48">
        <v>4.63</v>
      </c>
      <c r="C49" s="47" t="s">
        <v>140</v>
      </c>
      <c r="D49" s="37">
        <f>B49/1000/3*2.4</f>
        <v>0.003704</v>
      </c>
      <c r="E49" s="47" t="s">
        <v>114</v>
      </c>
      <c r="F49" s="48">
        <f>D49</f>
        <v>0.003704</v>
      </c>
      <c r="I49" s="47" t="s">
        <v>141</v>
      </c>
    </row>
    <row r="50" spans="1:9">
      <c r="A50" s="47" t="s">
        <v>126</v>
      </c>
      <c r="B50" s="48">
        <f>4.022-2.086</f>
        <v>1.936</v>
      </c>
      <c r="C50" s="47" t="s">
        <v>142</v>
      </c>
      <c r="D50" s="37">
        <f>B50/1000*0.9</f>
        <v>0.0017424</v>
      </c>
      <c r="E50" s="47" t="s">
        <v>114</v>
      </c>
      <c r="F50" s="48">
        <f>D50</f>
        <v>0.0017424</v>
      </c>
      <c r="G50" s="48">
        <f>(0.72+0.125+0.024+0.139)/(0.258+0.72+0.67+0.125+0.024+0.139)</f>
        <v>0.520661157024793</v>
      </c>
      <c r="I50" s="47" t="s">
        <v>143</v>
      </c>
    </row>
    <row r="51" spans="1:9">
      <c r="A51" s="47" t="s">
        <v>108</v>
      </c>
      <c r="B51" s="48">
        <f>(2.67+3.03)/2*1000000</f>
        <v>2850000</v>
      </c>
      <c r="C51" s="47" t="s">
        <v>119</v>
      </c>
      <c r="D51" s="37">
        <f>B51/(798*208.6*3785.41*365/1000)</f>
        <v>0.0123914427587321</v>
      </c>
      <c r="E51" s="47" t="s">
        <v>114</v>
      </c>
      <c r="F51" s="48">
        <f>D51</f>
        <v>0.0123914427587321</v>
      </c>
      <c r="H51" s="47" t="s">
        <v>144</v>
      </c>
      <c r="I51" s="47" t="s">
        <v>145</v>
      </c>
    </row>
    <row r="52" spans="1:9">
      <c r="A52" s="47" t="s">
        <v>137</v>
      </c>
      <c r="B52" s="48">
        <v>1000</v>
      </c>
      <c r="C52" s="47" t="s">
        <v>146</v>
      </c>
      <c r="D52" s="37">
        <f>110*(B52/25)*86400/1000000/151000*2.4</f>
        <v>0.00604227814569536</v>
      </c>
      <c r="E52" s="47" t="s">
        <v>114</v>
      </c>
      <c r="F52" s="48">
        <f>D52</f>
        <v>0.00604227814569536</v>
      </c>
      <c r="H52" s="47" t="s">
        <v>147</v>
      </c>
      <c r="I52" s="47" t="s">
        <v>148</v>
      </c>
    </row>
    <row r="53" spans="1:9">
      <c r="A53" s="47" t="s">
        <v>137</v>
      </c>
      <c r="B53" s="48">
        <v>0.2773</v>
      </c>
      <c r="C53" s="47" t="s">
        <v>149</v>
      </c>
      <c r="D53" s="37">
        <f>B53/1000*0.9</f>
        <v>0.00024957</v>
      </c>
      <c r="E53" s="47" t="s">
        <v>114</v>
      </c>
      <c r="F53" s="48">
        <f>D53</f>
        <v>0.00024957</v>
      </c>
      <c r="G53" s="48">
        <f>(0.023+0.0003+0.146+0.004+0.023)/(0.023+0.0003+0.146+0.004+0.023+0.062+0.019)</f>
        <v>0.707897583844212</v>
      </c>
      <c r="I53" s="47" t="s">
        <v>150</v>
      </c>
    </row>
    <row r="54" spans="1:9">
      <c r="A54" s="47" t="s">
        <v>126</v>
      </c>
      <c r="B54" s="48">
        <v>49.2</v>
      </c>
      <c r="C54" s="47" t="s">
        <v>151</v>
      </c>
      <c r="D54" s="48">
        <f t="shared" ref="D54:D69" si="2">B54*1000/(250000*675)*2.4</f>
        <v>0.000699733333333333</v>
      </c>
      <c r="E54" s="47" t="s">
        <v>110</v>
      </c>
      <c r="F54" s="48">
        <f t="shared" ref="F54:F84" si="3">D54/0.417</f>
        <v>0.00167801758593125</v>
      </c>
      <c r="H54" s="47" t="s">
        <v>152</v>
      </c>
      <c r="I54" s="47" t="s">
        <v>153</v>
      </c>
    </row>
    <row r="55" spans="1:9">
      <c r="A55" s="47" t="s">
        <v>126</v>
      </c>
      <c r="B55" s="48">
        <v>38.4</v>
      </c>
      <c r="C55" s="47" t="s">
        <v>151</v>
      </c>
      <c r="D55" s="48">
        <f t="shared" si="2"/>
        <v>0.000546133333333333</v>
      </c>
      <c r="E55" s="47" t="s">
        <v>110</v>
      </c>
      <c r="F55" s="48">
        <f t="shared" si="3"/>
        <v>0.00130967226219025</v>
      </c>
      <c r="H55" s="47" t="s">
        <v>152</v>
      </c>
      <c r="I55" s="47" t="s">
        <v>153</v>
      </c>
    </row>
    <row r="56" spans="1:9">
      <c r="A56" s="47" t="s">
        <v>126</v>
      </c>
      <c r="B56" s="48">
        <v>40.1</v>
      </c>
      <c r="C56" s="47" t="s">
        <v>151</v>
      </c>
      <c r="D56" s="48">
        <f t="shared" si="2"/>
        <v>0.000570311111111111</v>
      </c>
      <c r="E56" s="47" t="s">
        <v>110</v>
      </c>
      <c r="F56" s="48">
        <f t="shared" si="3"/>
        <v>0.00136765254463096</v>
      </c>
      <c r="H56" s="47" t="s">
        <v>152</v>
      </c>
      <c r="I56" s="47" t="s">
        <v>153</v>
      </c>
    </row>
    <row r="57" spans="1:9">
      <c r="A57" s="47" t="s">
        <v>126</v>
      </c>
      <c r="B57" s="48">
        <v>45.6</v>
      </c>
      <c r="C57" s="47" t="s">
        <v>151</v>
      </c>
      <c r="D57" s="48">
        <f t="shared" si="2"/>
        <v>0.000648533333333333</v>
      </c>
      <c r="E57" s="47" t="s">
        <v>110</v>
      </c>
      <c r="F57" s="48">
        <f t="shared" si="3"/>
        <v>0.00155523581135092</v>
      </c>
      <c r="H57" s="47" t="s">
        <v>152</v>
      </c>
      <c r="I57" s="47" t="s">
        <v>153</v>
      </c>
    </row>
    <row r="58" spans="1:9">
      <c r="A58" s="47" t="s">
        <v>126</v>
      </c>
      <c r="B58" s="48">
        <v>48</v>
      </c>
      <c r="C58" s="47" t="s">
        <v>151</v>
      </c>
      <c r="D58" s="48">
        <f t="shared" si="2"/>
        <v>0.000682666666666667</v>
      </c>
      <c r="E58" s="47" t="s">
        <v>110</v>
      </c>
      <c r="F58" s="48">
        <f t="shared" si="3"/>
        <v>0.00163709032773781</v>
      </c>
      <c r="H58" s="47" t="s">
        <v>152</v>
      </c>
      <c r="I58" s="47" t="s">
        <v>153</v>
      </c>
    </row>
    <row r="59" spans="1:9">
      <c r="A59" s="47" t="s">
        <v>126</v>
      </c>
      <c r="B59" s="48">
        <v>54.5</v>
      </c>
      <c r="C59" s="47" t="s">
        <v>151</v>
      </c>
      <c r="D59" s="48">
        <f t="shared" si="2"/>
        <v>0.000775111111111111</v>
      </c>
      <c r="E59" s="47" t="s">
        <v>110</v>
      </c>
      <c r="F59" s="48">
        <f t="shared" si="3"/>
        <v>0.0018587796429523</v>
      </c>
      <c r="H59" s="47" t="s">
        <v>152</v>
      </c>
      <c r="I59" s="47" t="s">
        <v>153</v>
      </c>
    </row>
    <row r="60" spans="1:9">
      <c r="A60" s="47" t="s">
        <v>126</v>
      </c>
      <c r="B60" s="48">
        <v>58.6</v>
      </c>
      <c r="C60" s="47" t="s">
        <v>151</v>
      </c>
      <c r="D60" s="48">
        <f t="shared" si="2"/>
        <v>0.000833422222222222</v>
      </c>
      <c r="E60" s="47" t="s">
        <v>110</v>
      </c>
      <c r="F60" s="48">
        <f t="shared" si="3"/>
        <v>0.00199861444177991</v>
      </c>
      <c r="H60" s="47" t="s">
        <v>152</v>
      </c>
      <c r="I60" s="47" t="s">
        <v>153</v>
      </c>
    </row>
    <row r="61" spans="1:9">
      <c r="A61" s="47" t="s">
        <v>126</v>
      </c>
      <c r="B61" s="48">
        <v>65.7</v>
      </c>
      <c r="C61" s="47" t="s">
        <v>151</v>
      </c>
      <c r="D61" s="48">
        <f t="shared" si="2"/>
        <v>0.0009344</v>
      </c>
      <c r="E61" s="47" t="s">
        <v>110</v>
      </c>
      <c r="F61" s="48">
        <f t="shared" si="3"/>
        <v>0.00224076738609113</v>
      </c>
      <c r="H61" s="47" t="s">
        <v>152</v>
      </c>
      <c r="I61" s="47" t="s">
        <v>153</v>
      </c>
    </row>
    <row r="62" spans="1:9">
      <c r="A62" s="47" t="s">
        <v>126</v>
      </c>
      <c r="B62" s="48">
        <v>73.8</v>
      </c>
      <c r="C62" s="47" t="s">
        <v>151</v>
      </c>
      <c r="D62" s="48">
        <f t="shared" si="2"/>
        <v>0.0010496</v>
      </c>
      <c r="E62" s="47" t="s">
        <v>110</v>
      </c>
      <c r="F62" s="48">
        <f t="shared" si="3"/>
        <v>0.00251702637889688</v>
      </c>
      <c r="H62" s="47" t="s">
        <v>152</v>
      </c>
      <c r="I62" s="47" t="s">
        <v>153</v>
      </c>
    </row>
    <row r="63" spans="1:9">
      <c r="A63" s="47" t="s">
        <v>126</v>
      </c>
      <c r="B63" s="48">
        <v>75</v>
      </c>
      <c r="C63" s="47" t="s">
        <v>151</v>
      </c>
      <c r="D63" s="48">
        <f t="shared" si="2"/>
        <v>0.00106666666666667</v>
      </c>
      <c r="E63" s="47" t="s">
        <v>110</v>
      </c>
      <c r="F63" s="48">
        <f t="shared" si="3"/>
        <v>0.00255795363709033</v>
      </c>
      <c r="H63" s="47" t="s">
        <v>152</v>
      </c>
      <c r="I63" s="47" t="s">
        <v>153</v>
      </c>
    </row>
    <row r="64" spans="1:9">
      <c r="A64" s="47" t="s">
        <v>126</v>
      </c>
      <c r="B64" s="48">
        <v>62.1</v>
      </c>
      <c r="C64" s="47" t="s">
        <v>151</v>
      </c>
      <c r="D64" s="48">
        <f t="shared" si="2"/>
        <v>0.0008832</v>
      </c>
      <c r="E64" s="47" t="s">
        <v>110</v>
      </c>
      <c r="F64" s="48">
        <f t="shared" si="3"/>
        <v>0.00211798561151079</v>
      </c>
      <c r="H64" s="47" t="s">
        <v>152</v>
      </c>
      <c r="I64" s="47" t="s">
        <v>153</v>
      </c>
    </row>
    <row r="65" spans="1:9">
      <c r="A65" s="47" t="s">
        <v>126</v>
      </c>
      <c r="B65" s="48">
        <v>47</v>
      </c>
      <c r="C65" s="47" t="s">
        <v>151</v>
      </c>
      <c r="D65" s="48">
        <f t="shared" si="2"/>
        <v>0.000668444444444444</v>
      </c>
      <c r="E65" s="47" t="s">
        <v>110</v>
      </c>
      <c r="F65" s="48">
        <f t="shared" si="3"/>
        <v>0.00160298427924327</v>
      </c>
      <c r="H65" s="47" t="s">
        <v>152</v>
      </c>
      <c r="I65" s="47" t="s">
        <v>153</v>
      </c>
    </row>
    <row r="66" spans="1:9">
      <c r="A66" s="47" t="s">
        <v>126</v>
      </c>
      <c r="B66" s="48">
        <v>36.3</v>
      </c>
      <c r="C66" s="47" t="s">
        <v>151</v>
      </c>
      <c r="D66" s="48">
        <f t="shared" si="2"/>
        <v>0.000516266666666667</v>
      </c>
      <c r="E66" s="47" t="s">
        <v>110</v>
      </c>
      <c r="F66" s="48">
        <f t="shared" si="3"/>
        <v>0.00123804956035172</v>
      </c>
      <c r="H66" s="47" t="s">
        <v>152</v>
      </c>
      <c r="I66" s="47" t="s">
        <v>153</v>
      </c>
    </row>
    <row r="67" spans="1:9">
      <c r="A67" s="47" t="s">
        <v>126</v>
      </c>
      <c r="B67" s="48">
        <v>32.2</v>
      </c>
      <c r="C67" s="47" t="s">
        <v>151</v>
      </c>
      <c r="D67" s="48">
        <f t="shared" si="2"/>
        <v>0.000457955555555556</v>
      </c>
      <c r="E67" s="47" t="s">
        <v>110</v>
      </c>
      <c r="F67" s="48">
        <f t="shared" si="3"/>
        <v>0.00109821476152411</v>
      </c>
      <c r="H67" s="47" t="s">
        <v>152</v>
      </c>
      <c r="I67" s="47" t="s">
        <v>153</v>
      </c>
    </row>
    <row r="68" spans="1:9">
      <c r="A68" s="47" t="s">
        <v>126</v>
      </c>
      <c r="B68" s="48">
        <v>46.6</v>
      </c>
      <c r="C68" s="47" t="s">
        <v>151</v>
      </c>
      <c r="D68" s="48">
        <f t="shared" si="2"/>
        <v>0.000662755555555556</v>
      </c>
      <c r="E68" s="47" t="s">
        <v>110</v>
      </c>
      <c r="F68" s="48">
        <f t="shared" si="3"/>
        <v>0.00158934185984546</v>
      </c>
      <c r="H68" s="47" t="s">
        <v>152</v>
      </c>
      <c r="I68" s="47" t="s">
        <v>153</v>
      </c>
    </row>
    <row r="69" spans="1:9">
      <c r="A69" s="47" t="s">
        <v>126</v>
      </c>
      <c r="B69" s="48">
        <v>43.1</v>
      </c>
      <c r="C69" s="47" t="s">
        <v>151</v>
      </c>
      <c r="D69" s="48">
        <f t="shared" si="2"/>
        <v>0.000612977777777778</v>
      </c>
      <c r="E69" s="47" t="s">
        <v>110</v>
      </c>
      <c r="F69" s="48">
        <f t="shared" si="3"/>
        <v>0.00146997069011458</v>
      </c>
      <c r="H69" s="47" t="s">
        <v>152</v>
      </c>
      <c r="I69" s="47" t="s">
        <v>153</v>
      </c>
    </row>
    <row r="70" spans="1:9">
      <c r="A70" s="47" t="s">
        <v>154</v>
      </c>
      <c r="B70" s="48">
        <v>130.2</v>
      </c>
      <c r="C70" s="47" t="s">
        <v>151</v>
      </c>
      <c r="D70" s="48">
        <f t="shared" ref="D70:D84" si="4">B70*1000/(150000*675)*2.4</f>
        <v>0.00308622222222222</v>
      </c>
      <c r="E70" s="47" t="s">
        <v>110</v>
      </c>
      <c r="F70" s="48">
        <f t="shared" si="3"/>
        <v>0.00740101252331468</v>
      </c>
      <c r="H70" s="47" t="s">
        <v>155</v>
      </c>
      <c r="I70" s="47" t="s">
        <v>153</v>
      </c>
    </row>
    <row r="71" spans="1:9">
      <c r="A71" s="47" t="s">
        <v>154</v>
      </c>
      <c r="B71" s="48">
        <v>172.5</v>
      </c>
      <c r="C71" s="47" t="s">
        <v>151</v>
      </c>
      <c r="D71" s="48">
        <f t="shared" si="4"/>
        <v>0.00408888888888889</v>
      </c>
      <c r="E71" s="47" t="s">
        <v>110</v>
      </c>
      <c r="F71" s="48">
        <f t="shared" si="3"/>
        <v>0.00980548894217959</v>
      </c>
      <c r="H71" s="47" t="s">
        <v>155</v>
      </c>
      <c r="I71" s="47" t="s">
        <v>153</v>
      </c>
    </row>
    <row r="72" spans="1:9">
      <c r="A72" s="47" t="s">
        <v>154</v>
      </c>
      <c r="B72" s="48">
        <v>118.5</v>
      </c>
      <c r="C72" s="47" t="s">
        <v>151</v>
      </c>
      <c r="D72" s="48">
        <f t="shared" si="4"/>
        <v>0.00280888888888889</v>
      </c>
      <c r="E72" s="47" t="s">
        <v>110</v>
      </c>
      <c r="F72" s="48">
        <f t="shared" si="3"/>
        <v>0.0067359445776712</v>
      </c>
      <c r="H72" s="47" t="s">
        <v>155</v>
      </c>
      <c r="I72" s="47" t="s">
        <v>153</v>
      </c>
    </row>
    <row r="73" spans="1:9">
      <c r="A73" s="47" t="s">
        <v>154</v>
      </c>
      <c r="B73" s="48">
        <v>108.7</v>
      </c>
      <c r="C73" s="47" t="s">
        <v>151</v>
      </c>
      <c r="D73" s="48">
        <f t="shared" si="4"/>
        <v>0.00257659259259259</v>
      </c>
      <c r="E73" s="47" t="s">
        <v>110</v>
      </c>
      <c r="F73" s="48">
        <f t="shared" si="3"/>
        <v>0.00617887911892708</v>
      </c>
      <c r="H73" s="47" t="s">
        <v>155</v>
      </c>
      <c r="I73" s="47" t="s">
        <v>153</v>
      </c>
    </row>
    <row r="74" spans="1:9">
      <c r="A74" s="47" t="s">
        <v>154</v>
      </c>
      <c r="B74" s="48">
        <v>158.2</v>
      </c>
      <c r="C74" s="47" t="s">
        <v>151</v>
      </c>
      <c r="D74" s="48">
        <f t="shared" si="4"/>
        <v>0.00374992592592593</v>
      </c>
      <c r="E74" s="47" t="s">
        <v>110</v>
      </c>
      <c r="F74" s="48">
        <f t="shared" si="3"/>
        <v>0.00899262811972644</v>
      </c>
      <c r="H74" s="47" t="s">
        <v>155</v>
      </c>
      <c r="I74" s="47" t="s">
        <v>153</v>
      </c>
    </row>
    <row r="75" spans="1:9">
      <c r="A75" s="47" t="s">
        <v>154</v>
      </c>
      <c r="B75" s="48">
        <v>160.2</v>
      </c>
      <c r="C75" s="47" t="s">
        <v>151</v>
      </c>
      <c r="D75" s="48">
        <f t="shared" si="4"/>
        <v>0.00379733333333333</v>
      </c>
      <c r="E75" s="47" t="s">
        <v>110</v>
      </c>
      <c r="F75" s="48">
        <f t="shared" si="3"/>
        <v>0.00910631494804157</v>
      </c>
      <c r="H75" s="47" t="s">
        <v>155</v>
      </c>
      <c r="I75" s="47" t="s">
        <v>153</v>
      </c>
    </row>
    <row r="76" spans="1:9">
      <c r="A76" s="47" t="s">
        <v>154</v>
      </c>
      <c r="B76" s="48">
        <v>144.5</v>
      </c>
      <c r="C76" s="47" t="s">
        <v>151</v>
      </c>
      <c r="D76" s="48">
        <f t="shared" si="4"/>
        <v>0.00342518518518518</v>
      </c>
      <c r="E76" s="47" t="s">
        <v>110</v>
      </c>
      <c r="F76" s="48">
        <f t="shared" si="3"/>
        <v>0.00821387334576783</v>
      </c>
      <c r="H76" s="47" t="s">
        <v>155</v>
      </c>
      <c r="I76" s="47" t="s">
        <v>153</v>
      </c>
    </row>
    <row r="77" spans="1:9">
      <c r="A77" s="47" t="s">
        <v>154</v>
      </c>
      <c r="B77" s="48">
        <v>251.3</v>
      </c>
      <c r="C77" s="47" t="s">
        <v>151</v>
      </c>
      <c r="D77" s="48">
        <f t="shared" si="4"/>
        <v>0.00595674074074074</v>
      </c>
      <c r="E77" s="47" t="s">
        <v>110</v>
      </c>
      <c r="F77" s="48">
        <f t="shared" si="3"/>
        <v>0.0142847499777955</v>
      </c>
      <c r="H77" s="47" t="s">
        <v>155</v>
      </c>
      <c r="I77" s="47" t="s">
        <v>153</v>
      </c>
    </row>
    <row r="78" spans="1:9">
      <c r="A78" s="47" t="s">
        <v>154</v>
      </c>
      <c r="B78" s="48">
        <v>210.3</v>
      </c>
      <c r="C78" s="47" t="s">
        <v>151</v>
      </c>
      <c r="D78" s="48">
        <f t="shared" si="4"/>
        <v>0.00498488888888889</v>
      </c>
      <c r="E78" s="47" t="s">
        <v>110</v>
      </c>
      <c r="F78" s="48">
        <f t="shared" si="3"/>
        <v>0.0119541699973355</v>
      </c>
      <c r="H78" s="47" t="s">
        <v>155</v>
      </c>
      <c r="I78" s="47" t="s">
        <v>153</v>
      </c>
    </row>
    <row r="79" spans="1:9">
      <c r="A79" s="47" t="s">
        <v>154</v>
      </c>
      <c r="B79" s="48">
        <v>178.4</v>
      </c>
      <c r="C79" s="47" t="s">
        <v>151</v>
      </c>
      <c r="D79" s="48">
        <f t="shared" si="4"/>
        <v>0.00422874074074074</v>
      </c>
      <c r="E79" s="47" t="s">
        <v>110</v>
      </c>
      <c r="F79" s="48">
        <f t="shared" si="3"/>
        <v>0.0101408650857092</v>
      </c>
      <c r="H79" s="47" t="s">
        <v>155</v>
      </c>
      <c r="I79" s="47" t="s">
        <v>153</v>
      </c>
    </row>
    <row r="80" spans="1:9">
      <c r="A80" s="47" t="s">
        <v>154</v>
      </c>
      <c r="B80" s="48">
        <v>373</v>
      </c>
      <c r="C80" s="47" t="s">
        <v>151</v>
      </c>
      <c r="D80" s="48">
        <f t="shared" si="4"/>
        <v>0.00884148148148148</v>
      </c>
      <c r="E80" s="47" t="s">
        <v>110</v>
      </c>
      <c r="F80" s="48">
        <f t="shared" si="3"/>
        <v>0.0212025934807709</v>
      </c>
      <c r="H80" s="47" t="s">
        <v>155</v>
      </c>
      <c r="I80" s="47" t="s">
        <v>153</v>
      </c>
    </row>
    <row r="81" spans="1:9">
      <c r="A81" s="47" t="s">
        <v>154</v>
      </c>
      <c r="B81" s="48">
        <v>243.5</v>
      </c>
      <c r="C81" s="47" t="s">
        <v>151</v>
      </c>
      <c r="D81" s="48">
        <f t="shared" si="4"/>
        <v>0.00577185185185185</v>
      </c>
      <c r="E81" s="47" t="s">
        <v>110</v>
      </c>
      <c r="F81" s="48">
        <f t="shared" si="3"/>
        <v>0.0138413713473666</v>
      </c>
      <c r="H81" s="47" t="s">
        <v>155</v>
      </c>
      <c r="I81" s="47" t="s">
        <v>153</v>
      </c>
    </row>
    <row r="82" spans="1:9">
      <c r="A82" s="47" t="s">
        <v>154</v>
      </c>
      <c r="B82" s="48">
        <v>178.4</v>
      </c>
      <c r="C82" s="47" t="s">
        <v>151</v>
      </c>
      <c r="D82" s="48">
        <f t="shared" si="4"/>
        <v>0.00422874074074074</v>
      </c>
      <c r="E82" s="47" t="s">
        <v>110</v>
      </c>
      <c r="F82" s="48">
        <f t="shared" si="3"/>
        <v>0.0101408650857092</v>
      </c>
      <c r="H82" s="47" t="s">
        <v>155</v>
      </c>
      <c r="I82" s="47" t="s">
        <v>153</v>
      </c>
    </row>
    <row r="83" spans="1:9">
      <c r="A83" s="47" t="s">
        <v>154</v>
      </c>
      <c r="B83" s="48">
        <v>126.3</v>
      </c>
      <c r="C83" s="47" t="s">
        <v>151</v>
      </c>
      <c r="D83" s="48">
        <f t="shared" si="4"/>
        <v>0.00299377777777778</v>
      </c>
      <c r="E83" s="47" t="s">
        <v>110</v>
      </c>
      <c r="F83" s="48">
        <f t="shared" si="3"/>
        <v>0.00717932320810019</v>
      </c>
      <c r="H83" s="47" t="s">
        <v>155</v>
      </c>
      <c r="I83" s="47" t="s">
        <v>153</v>
      </c>
    </row>
    <row r="84" spans="1:9">
      <c r="A84" s="47" t="s">
        <v>154</v>
      </c>
      <c r="B84" s="48">
        <v>109.4</v>
      </c>
      <c r="C84" s="47" t="s">
        <v>151</v>
      </c>
      <c r="D84" s="48">
        <f t="shared" si="4"/>
        <v>0.00259318518518518</v>
      </c>
      <c r="E84" s="47" t="s">
        <v>110</v>
      </c>
      <c r="F84" s="48">
        <f t="shared" si="3"/>
        <v>0.00621866950883737</v>
      </c>
      <c r="H84" s="47" t="s">
        <v>155</v>
      </c>
      <c r="I84" s="47" t="s">
        <v>153</v>
      </c>
    </row>
    <row r="85" spans="1:9">
      <c r="A85" s="47" t="s">
        <v>112</v>
      </c>
      <c r="B85" s="48">
        <v>0.457</v>
      </c>
      <c r="C85" s="47" t="s">
        <v>156</v>
      </c>
      <c r="D85" s="37">
        <f>B85/500*2.4</f>
        <v>0.0021936</v>
      </c>
      <c r="E85" s="47" t="s">
        <v>114</v>
      </c>
      <c r="F85" s="48">
        <f t="shared" ref="F85:F148" si="5">D85</f>
        <v>0.0021936</v>
      </c>
      <c r="H85" s="47" t="s">
        <v>157</v>
      </c>
      <c r="I85" s="47" t="s">
        <v>158</v>
      </c>
    </row>
    <row r="86" spans="1:9">
      <c r="A86" s="47" t="s">
        <v>126</v>
      </c>
      <c r="B86" s="48">
        <v>0.182</v>
      </c>
      <c r="C86" s="47" t="s">
        <v>156</v>
      </c>
      <c r="D86" s="37">
        <f>B86/400*2.4</f>
        <v>0.001092</v>
      </c>
      <c r="E86" s="47" t="s">
        <v>114</v>
      </c>
      <c r="F86" s="48">
        <f t="shared" si="5"/>
        <v>0.001092</v>
      </c>
      <c r="G86" s="48">
        <v>0.762</v>
      </c>
      <c r="H86" s="47" t="s">
        <v>159</v>
      </c>
      <c r="I86" s="47" t="s">
        <v>158</v>
      </c>
    </row>
    <row r="87" spans="1:9">
      <c r="A87" s="47" t="s">
        <v>160</v>
      </c>
      <c r="B87" s="48">
        <v>0.11</v>
      </c>
      <c r="C87" s="47" t="s">
        <v>161</v>
      </c>
      <c r="D87" s="37">
        <f>B87/100*16/12*2.4/3</f>
        <v>0.00117333333333333</v>
      </c>
      <c r="E87" s="47" t="s">
        <v>114</v>
      </c>
      <c r="F87" s="48">
        <f t="shared" si="5"/>
        <v>0.00117333333333333</v>
      </c>
      <c r="I87" s="47" t="s">
        <v>162</v>
      </c>
    </row>
    <row r="88" spans="1:9">
      <c r="A88" s="47" t="s">
        <v>160</v>
      </c>
      <c r="B88" s="48">
        <v>0.44</v>
      </c>
      <c r="C88" s="47" t="s">
        <v>161</v>
      </c>
      <c r="D88" s="37">
        <f>B88/100*16/12*2.4/3</f>
        <v>0.00469333333333333</v>
      </c>
      <c r="E88" s="47" t="s">
        <v>114</v>
      </c>
      <c r="F88" s="48">
        <f t="shared" si="5"/>
        <v>0.00469333333333333</v>
      </c>
      <c r="I88" s="47" t="s">
        <v>162</v>
      </c>
    </row>
    <row r="89" spans="1:9">
      <c r="A89" s="47" t="s">
        <v>160</v>
      </c>
      <c r="B89" s="48">
        <v>4.5</v>
      </c>
      <c r="C89" s="47" t="s">
        <v>161</v>
      </c>
      <c r="D89" s="37">
        <f>B89/100*16/12*2.4/3</f>
        <v>0.048</v>
      </c>
      <c r="E89" s="47" t="s">
        <v>114</v>
      </c>
      <c r="F89" s="48">
        <f t="shared" si="5"/>
        <v>0.048</v>
      </c>
      <c r="I89" s="47" t="s">
        <v>162</v>
      </c>
    </row>
    <row r="90" spans="1:9">
      <c r="A90" s="47" t="s">
        <v>154</v>
      </c>
      <c r="B90" s="48">
        <v>0.463</v>
      </c>
      <c r="C90" s="47" t="s">
        <v>163</v>
      </c>
      <c r="D90" s="48">
        <f>B90/130</f>
        <v>0.00356153846153846</v>
      </c>
      <c r="E90" s="47" t="s">
        <v>114</v>
      </c>
      <c r="F90" s="48">
        <f t="shared" si="5"/>
        <v>0.00356153846153846</v>
      </c>
      <c r="H90" s="47" t="s">
        <v>164</v>
      </c>
      <c r="I90" s="47" t="s">
        <v>165</v>
      </c>
    </row>
    <row r="91" spans="1:9">
      <c r="A91" s="47" t="s">
        <v>154</v>
      </c>
      <c r="B91" s="48">
        <v>0.433</v>
      </c>
      <c r="C91" s="47" t="s">
        <v>163</v>
      </c>
      <c r="D91" s="48">
        <f>B91/130</f>
        <v>0.00333076923076923</v>
      </c>
      <c r="E91" s="47" t="s">
        <v>114</v>
      </c>
      <c r="F91" s="48">
        <f t="shared" si="5"/>
        <v>0.00333076923076923</v>
      </c>
      <c r="H91" s="47" t="s">
        <v>164</v>
      </c>
      <c r="I91" s="47" t="s">
        <v>165</v>
      </c>
    </row>
    <row r="92" spans="1:9">
      <c r="A92" s="47" t="s">
        <v>154</v>
      </c>
      <c r="B92" s="48">
        <v>0.513</v>
      </c>
      <c r="C92" s="47" t="s">
        <v>163</v>
      </c>
      <c r="D92" s="48">
        <f>B92/130</f>
        <v>0.00394615384615385</v>
      </c>
      <c r="E92" s="47" t="s">
        <v>114</v>
      </c>
      <c r="F92" s="48">
        <f t="shared" si="5"/>
        <v>0.00394615384615385</v>
      </c>
      <c r="H92" s="47" t="s">
        <v>164</v>
      </c>
      <c r="I92" s="47" t="s">
        <v>165</v>
      </c>
    </row>
    <row r="93" spans="1:9">
      <c r="A93" s="47" t="s">
        <v>154</v>
      </c>
      <c r="B93" s="48">
        <v>0.247</v>
      </c>
      <c r="C93" s="47" t="s">
        <v>163</v>
      </c>
      <c r="D93" s="48">
        <f>B93/130</f>
        <v>0.0019</v>
      </c>
      <c r="E93" s="47" t="s">
        <v>114</v>
      </c>
      <c r="F93" s="48">
        <f t="shared" si="5"/>
        <v>0.0019</v>
      </c>
      <c r="H93" s="47" t="s">
        <v>164</v>
      </c>
      <c r="I93" s="47" t="s">
        <v>165</v>
      </c>
    </row>
    <row r="94" spans="1:9">
      <c r="A94" s="47" t="s">
        <v>117</v>
      </c>
      <c r="B94" s="48">
        <v>0.5633</v>
      </c>
      <c r="C94" s="47" t="s">
        <v>163</v>
      </c>
      <c r="D94" s="48">
        <f>B94/210</f>
        <v>0.00268238095238095</v>
      </c>
      <c r="E94" s="47" t="s">
        <v>114</v>
      </c>
      <c r="F94" s="48">
        <f t="shared" si="5"/>
        <v>0.00268238095238095</v>
      </c>
      <c r="H94" s="47" t="s">
        <v>166</v>
      </c>
      <c r="I94" s="47" t="s">
        <v>165</v>
      </c>
    </row>
    <row r="95" spans="1:9">
      <c r="A95" s="47" t="s">
        <v>117</v>
      </c>
      <c r="B95" s="48">
        <v>0.2333</v>
      </c>
      <c r="C95" s="47" t="s">
        <v>163</v>
      </c>
      <c r="D95" s="48">
        <f>B95/210</f>
        <v>0.00111095238095238</v>
      </c>
      <c r="E95" s="47" t="s">
        <v>114</v>
      </c>
      <c r="F95" s="48">
        <f t="shared" si="5"/>
        <v>0.00111095238095238</v>
      </c>
      <c r="H95" s="47" t="s">
        <v>166</v>
      </c>
      <c r="I95" s="47" t="s">
        <v>165</v>
      </c>
    </row>
    <row r="96" spans="1:9">
      <c r="A96" s="47" t="s">
        <v>117</v>
      </c>
      <c r="B96" s="48">
        <v>0.8425</v>
      </c>
      <c r="C96" s="47" t="s">
        <v>163</v>
      </c>
      <c r="D96" s="48">
        <f>B96/210</f>
        <v>0.00401190476190476</v>
      </c>
      <c r="E96" s="47" t="s">
        <v>114</v>
      </c>
      <c r="F96" s="48">
        <f t="shared" si="5"/>
        <v>0.00401190476190476</v>
      </c>
      <c r="H96" s="47" t="s">
        <v>166</v>
      </c>
      <c r="I96" s="47" t="s">
        <v>165</v>
      </c>
    </row>
    <row r="97" spans="1:9">
      <c r="A97" s="47" t="s">
        <v>117</v>
      </c>
      <c r="B97" s="48">
        <v>0.403</v>
      </c>
      <c r="C97" s="47" t="s">
        <v>163</v>
      </c>
      <c r="D97" s="48">
        <f>B97/210</f>
        <v>0.00191904761904762</v>
      </c>
      <c r="E97" s="47" t="s">
        <v>114</v>
      </c>
      <c r="F97" s="48">
        <f t="shared" si="5"/>
        <v>0.00191904761904762</v>
      </c>
      <c r="H97" s="47" t="s">
        <v>166</v>
      </c>
      <c r="I97" s="47" t="s">
        <v>165</v>
      </c>
    </row>
    <row r="98" spans="1:9">
      <c r="A98" s="47" t="s">
        <v>117</v>
      </c>
      <c r="B98" s="48">
        <v>0.1589</v>
      </c>
      <c r="C98" s="47" t="s">
        <v>163</v>
      </c>
      <c r="D98" s="48">
        <f>B98/150</f>
        <v>0.00105933333333333</v>
      </c>
      <c r="E98" s="47" t="s">
        <v>114</v>
      </c>
      <c r="F98" s="48">
        <f t="shared" si="5"/>
        <v>0.00105933333333333</v>
      </c>
      <c r="H98" s="47" t="s">
        <v>167</v>
      </c>
      <c r="I98" s="47" t="s">
        <v>165</v>
      </c>
    </row>
    <row r="99" spans="1:9">
      <c r="A99" s="47" t="s">
        <v>117</v>
      </c>
      <c r="B99" s="48">
        <v>0.0403</v>
      </c>
      <c r="C99" s="47" t="s">
        <v>163</v>
      </c>
      <c r="D99" s="48">
        <f>B99/150</f>
        <v>0.000268666666666667</v>
      </c>
      <c r="E99" s="47" t="s">
        <v>114</v>
      </c>
      <c r="F99" s="48">
        <f t="shared" si="5"/>
        <v>0.000268666666666667</v>
      </c>
      <c r="H99" s="47" t="s">
        <v>167</v>
      </c>
      <c r="I99" s="47" t="s">
        <v>165</v>
      </c>
    </row>
    <row r="100" spans="1:9">
      <c r="A100" s="47" t="s">
        <v>117</v>
      </c>
      <c r="B100" s="48">
        <v>0.0842</v>
      </c>
      <c r="C100" s="47" t="s">
        <v>163</v>
      </c>
      <c r="D100" s="48">
        <f>B100/150</f>
        <v>0.000561333333333333</v>
      </c>
      <c r="E100" s="47" t="s">
        <v>114</v>
      </c>
      <c r="F100" s="48">
        <f t="shared" si="5"/>
        <v>0.000561333333333333</v>
      </c>
      <c r="H100" s="47" t="s">
        <v>167</v>
      </c>
      <c r="I100" s="47" t="s">
        <v>165</v>
      </c>
    </row>
    <row r="101" spans="1:9">
      <c r="A101" s="47" t="s">
        <v>117</v>
      </c>
      <c r="B101" s="48">
        <v>0.1678</v>
      </c>
      <c r="C101" s="47" t="s">
        <v>163</v>
      </c>
      <c r="D101" s="48">
        <f>B101/150</f>
        <v>0.00111866666666667</v>
      </c>
      <c r="E101" s="47" t="s">
        <v>114</v>
      </c>
      <c r="F101" s="48">
        <f t="shared" si="5"/>
        <v>0.00111866666666667</v>
      </c>
      <c r="H101" s="47" t="s">
        <v>167</v>
      </c>
      <c r="I101" s="47" t="s">
        <v>165</v>
      </c>
    </row>
    <row r="102" spans="1:9">
      <c r="A102" s="47" t="s">
        <v>117</v>
      </c>
      <c r="B102" s="48">
        <v>1.28</v>
      </c>
      <c r="C102" s="47" t="s">
        <v>163</v>
      </c>
      <c r="D102" s="37">
        <f>B102/110*2.4</f>
        <v>0.0279272727272727</v>
      </c>
      <c r="E102" s="47" t="s">
        <v>114</v>
      </c>
      <c r="F102" s="48">
        <f t="shared" si="5"/>
        <v>0.0279272727272727</v>
      </c>
      <c r="H102" s="47" t="s">
        <v>168</v>
      </c>
      <c r="I102" s="47" t="s">
        <v>169</v>
      </c>
    </row>
    <row r="103" spans="1:9">
      <c r="A103" s="47" t="s">
        <v>117</v>
      </c>
      <c r="B103" s="48">
        <v>0.577</v>
      </c>
      <c r="C103" s="47" t="s">
        <v>163</v>
      </c>
      <c r="D103" s="37">
        <f>B103/110*2.4</f>
        <v>0.0125890909090909</v>
      </c>
      <c r="E103" s="47" t="s">
        <v>114</v>
      </c>
      <c r="F103" s="48">
        <f t="shared" si="5"/>
        <v>0.0125890909090909</v>
      </c>
      <c r="H103" s="47" t="s">
        <v>168</v>
      </c>
      <c r="I103" s="47" t="s">
        <v>169</v>
      </c>
    </row>
    <row r="104" spans="1:9">
      <c r="A104" s="47" t="s">
        <v>117</v>
      </c>
      <c r="B104" s="48">
        <v>1.04</v>
      </c>
      <c r="C104" s="47" t="s">
        <v>163</v>
      </c>
      <c r="D104" s="37">
        <f>B104/110*2.4</f>
        <v>0.0226909090909091</v>
      </c>
      <c r="E104" s="47" t="s">
        <v>114</v>
      </c>
      <c r="F104" s="48">
        <f t="shared" si="5"/>
        <v>0.0226909090909091</v>
      </c>
      <c r="H104" s="47" t="s">
        <v>168</v>
      </c>
      <c r="I104" s="47" t="s">
        <v>169</v>
      </c>
    </row>
    <row r="105" spans="1:9">
      <c r="A105" s="47" t="s">
        <v>117</v>
      </c>
      <c r="B105" s="48">
        <v>1.6</v>
      </c>
      <c r="C105" s="47" t="s">
        <v>163</v>
      </c>
      <c r="D105" s="37">
        <f>B105/110*2.4</f>
        <v>0.0349090909090909</v>
      </c>
      <c r="E105" s="47" t="s">
        <v>114</v>
      </c>
      <c r="F105" s="48">
        <f t="shared" si="5"/>
        <v>0.0349090909090909</v>
      </c>
      <c r="H105" s="47" t="s">
        <v>168</v>
      </c>
      <c r="I105" s="47" t="s">
        <v>169</v>
      </c>
    </row>
    <row r="106" spans="1:9">
      <c r="A106" s="47" t="s">
        <v>117</v>
      </c>
      <c r="B106" s="48">
        <v>0.774</v>
      </c>
      <c r="C106" s="47" t="s">
        <v>163</v>
      </c>
      <c r="D106" s="37">
        <f>B106/110*2.4</f>
        <v>0.0168872727272727</v>
      </c>
      <c r="E106" s="47" t="s">
        <v>114</v>
      </c>
      <c r="F106" s="48">
        <f t="shared" si="5"/>
        <v>0.0168872727272727</v>
      </c>
      <c r="H106" s="47" t="s">
        <v>168</v>
      </c>
      <c r="I106" s="47" t="s">
        <v>169</v>
      </c>
    </row>
    <row r="107" spans="1:9">
      <c r="A107" s="47" t="s">
        <v>126</v>
      </c>
      <c r="B107" s="48">
        <v>5.59329399383314</v>
      </c>
      <c r="C107" s="47" t="s">
        <v>170</v>
      </c>
      <c r="D107" s="37">
        <f>B107/42.0443974536</f>
        <v>0.133033039657802</v>
      </c>
      <c r="E107" s="47" t="s">
        <v>114</v>
      </c>
      <c r="F107" s="48">
        <f t="shared" si="5"/>
        <v>0.133033039657802</v>
      </c>
      <c r="H107" s="47" t="s">
        <v>171</v>
      </c>
      <c r="I107" s="47" t="s">
        <v>172</v>
      </c>
    </row>
    <row r="108" spans="1:9">
      <c r="A108" s="47" t="s">
        <v>126</v>
      </c>
      <c r="B108" s="48">
        <v>5.23363437837139</v>
      </c>
      <c r="C108" s="47" t="s">
        <v>170</v>
      </c>
      <c r="D108" s="37">
        <f t="shared" ref="D108:D171" si="6">B108/H108</f>
        <v>0.102888952388312</v>
      </c>
      <c r="E108" s="47" t="s">
        <v>114</v>
      </c>
      <c r="F108" s="48">
        <f t="shared" si="5"/>
        <v>0.102888952388312</v>
      </c>
      <c r="H108" s="47">
        <v>50.866825416</v>
      </c>
      <c r="I108" s="47" t="s">
        <v>172</v>
      </c>
    </row>
    <row r="109" spans="1:9">
      <c r="A109" s="47" t="s">
        <v>126</v>
      </c>
      <c r="B109" s="48">
        <v>3.86661329350679</v>
      </c>
      <c r="C109" s="47" t="s">
        <v>170</v>
      </c>
      <c r="D109" s="37">
        <f t="shared" si="6"/>
        <v>0.134337899260052</v>
      </c>
      <c r="E109" s="47" t="s">
        <v>114</v>
      </c>
      <c r="F109" s="48">
        <f t="shared" si="5"/>
        <v>0.134337899260052</v>
      </c>
      <c r="H109" s="47">
        <v>28.7827434759999</v>
      </c>
      <c r="I109" s="47" t="s">
        <v>172</v>
      </c>
    </row>
    <row r="110" spans="1:9">
      <c r="A110" s="47" t="s">
        <v>126</v>
      </c>
      <c r="B110" s="48">
        <v>19.3914112829467</v>
      </c>
      <c r="C110" s="47" t="s">
        <v>170</v>
      </c>
      <c r="D110" s="37">
        <f t="shared" si="6"/>
        <v>0.186479677433334</v>
      </c>
      <c r="E110" s="47" t="s">
        <v>114</v>
      </c>
      <c r="F110" s="48">
        <f t="shared" si="5"/>
        <v>0.186479677433334</v>
      </c>
      <c r="H110" s="47">
        <v>103.986726863999</v>
      </c>
      <c r="I110" s="47" t="s">
        <v>172</v>
      </c>
    </row>
    <row r="111" spans="1:9">
      <c r="A111" s="47" t="s">
        <v>126</v>
      </c>
      <c r="B111" s="48">
        <v>7.441488250251</v>
      </c>
      <c r="C111" s="47" t="s">
        <v>170</v>
      </c>
      <c r="D111" s="37">
        <f t="shared" si="6"/>
        <v>0.114048672034946</v>
      </c>
      <c r="E111" s="47" t="s">
        <v>114</v>
      </c>
      <c r="F111" s="48">
        <f t="shared" si="5"/>
        <v>0.114048672034946</v>
      </c>
      <c r="H111" s="47">
        <v>65.248355088</v>
      </c>
      <c r="I111" s="47" t="s">
        <v>172</v>
      </c>
    </row>
    <row r="112" spans="1:9">
      <c r="A112" s="47" t="s">
        <v>126</v>
      </c>
      <c r="B112" s="48">
        <v>15.2590314850498</v>
      </c>
      <c r="C112" s="47" t="s">
        <v>170</v>
      </c>
      <c r="D112" s="37">
        <f t="shared" si="6"/>
        <v>0.210001019220961</v>
      </c>
      <c r="E112" s="47" t="s">
        <v>114</v>
      </c>
      <c r="F112" s="48">
        <f t="shared" si="5"/>
        <v>0.210001019220961</v>
      </c>
      <c r="H112" s="47">
        <v>72.661702032</v>
      </c>
      <c r="I112" s="47" t="s">
        <v>172</v>
      </c>
    </row>
    <row r="113" spans="1:9">
      <c r="A113" s="47" t="s">
        <v>126</v>
      </c>
      <c r="B113" s="48">
        <v>0.0706119539674128</v>
      </c>
      <c r="C113" s="47" t="s">
        <v>170</v>
      </c>
      <c r="D113" s="37">
        <f t="shared" si="6"/>
        <v>0.00256514213308135</v>
      </c>
      <c r="E113" s="47" t="s">
        <v>114</v>
      </c>
      <c r="F113" s="48">
        <f t="shared" si="5"/>
        <v>0.00256514213308135</v>
      </c>
      <c r="H113" s="47">
        <v>27.52750152</v>
      </c>
      <c r="I113" s="47" t="s">
        <v>172</v>
      </c>
    </row>
    <row r="114" spans="1:9">
      <c r="A114" s="47" t="s">
        <v>126</v>
      </c>
      <c r="B114" s="48">
        <v>0.00770045750811235</v>
      </c>
      <c r="C114" s="47" t="s">
        <v>170</v>
      </c>
      <c r="D114" s="37">
        <f t="shared" si="6"/>
        <v>0.00180341012652525</v>
      </c>
      <c r="E114" s="47" t="s">
        <v>114</v>
      </c>
      <c r="F114" s="48">
        <f t="shared" si="5"/>
        <v>0.00180341012652525</v>
      </c>
      <c r="H114" s="47">
        <v>4.26994248</v>
      </c>
      <c r="I114" s="47" t="s">
        <v>172</v>
      </c>
    </row>
    <row r="115" spans="1:9">
      <c r="A115" s="47" t="s">
        <v>108</v>
      </c>
      <c r="B115" s="48">
        <v>2.84085579968569</v>
      </c>
      <c r="C115" s="47" t="s">
        <v>170</v>
      </c>
      <c r="D115" s="37">
        <f t="shared" si="6"/>
        <v>0.0346874409633775</v>
      </c>
      <c r="E115" s="47" t="s">
        <v>114</v>
      </c>
      <c r="F115" s="48">
        <f t="shared" si="5"/>
        <v>0.0346874409633775</v>
      </c>
      <c r="H115" s="47">
        <v>81.8986849645388</v>
      </c>
      <c r="I115" s="47" t="s">
        <v>172</v>
      </c>
    </row>
    <row r="116" spans="1:9">
      <c r="A116" s="47" t="s">
        <v>108</v>
      </c>
      <c r="B116" s="48">
        <v>0.0335809909063626</v>
      </c>
      <c r="C116" s="47" t="s">
        <v>170</v>
      </c>
      <c r="D116" s="37">
        <f t="shared" si="6"/>
        <v>0.0155577674616669</v>
      </c>
      <c r="E116" s="47" t="s">
        <v>114</v>
      </c>
      <c r="F116" s="48">
        <f t="shared" si="5"/>
        <v>0.0155577674616669</v>
      </c>
      <c r="H116" s="47">
        <v>2.15847106528</v>
      </c>
      <c r="I116" s="47" t="s">
        <v>172</v>
      </c>
    </row>
    <row r="117" spans="1:9">
      <c r="A117" s="47" t="s">
        <v>108</v>
      </c>
      <c r="B117" s="48">
        <v>0.0814095085954494</v>
      </c>
      <c r="C117" s="47" t="s">
        <v>170</v>
      </c>
      <c r="D117" s="37">
        <f t="shared" si="6"/>
        <v>0.104230679181281</v>
      </c>
      <c r="E117" s="47" t="s">
        <v>114</v>
      </c>
      <c r="F117" s="48">
        <f t="shared" si="5"/>
        <v>0.104230679181281</v>
      </c>
      <c r="H117" s="47">
        <v>0.78105131075525</v>
      </c>
      <c r="I117" s="47" t="s">
        <v>172</v>
      </c>
    </row>
    <row r="118" spans="1:9">
      <c r="A118" s="47" t="s">
        <v>108</v>
      </c>
      <c r="B118" s="48">
        <v>0.0578875823189122</v>
      </c>
      <c r="C118" s="47" t="s">
        <v>170</v>
      </c>
      <c r="D118" s="37">
        <f t="shared" si="6"/>
        <v>0.0332084788042243</v>
      </c>
      <c r="E118" s="47" t="s">
        <v>114</v>
      </c>
      <c r="F118" s="48">
        <f t="shared" si="5"/>
        <v>0.0332084788042243</v>
      </c>
      <c r="H118" s="47">
        <v>1.743156699835</v>
      </c>
      <c r="I118" s="47" t="s">
        <v>172</v>
      </c>
    </row>
    <row r="119" spans="1:9">
      <c r="A119" s="47" t="s">
        <v>108</v>
      </c>
      <c r="B119" s="48">
        <v>0.00450587321116265</v>
      </c>
      <c r="C119" s="47" t="s">
        <v>170</v>
      </c>
      <c r="D119" s="37">
        <f t="shared" si="6"/>
        <v>0.0222241660724222</v>
      </c>
      <c r="E119" s="47" t="s">
        <v>114</v>
      </c>
      <c r="F119" s="48">
        <f t="shared" si="5"/>
        <v>0.0222241660724222</v>
      </c>
      <c r="H119" s="47">
        <v>0.2027465596</v>
      </c>
      <c r="I119" s="47" t="s">
        <v>172</v>
      </c>
    </row>
    <row r="120" spans="1:9">
      <c r="A120" s="47" t="s">
        <v>108</v>
      </c>
      <c r="B120" s="48">
        <v>0.600642425999809</v>
      </c>
      <c r="C120" s="47" t="s">
        <v>170</v>
      </c>
      <c r="D120" s="37">
        <f t="shared" si="6"/>
        <v>0.1111824649775</v>
      </c>
      <c r="E120" s="47" t="s">
        <v>114</v>
      </c>
      <c r="F120" s="48">
        <f t="shared" si="5"/>
        <v>0.1111824649775</v>
      </c>
      <c r="H120" s="47">
        <v>5.40231255100666</v>
      </c>
      <c r="I120" s="47" t="s">
        <v>172</v>
      </c>
    </row>
    <row r="121" spans="1:9">
      <c r="A121" s="47" t="s">
        <v>108</v>
      </c>
      <c r="B121" s="48">
        <v>0.941210093841798</v>
      </c>
      <c r="C121" s="47" t="s">
        <v>170</v>
      </c>
      <c r="D121" s="37">
        <f t="shared" si="6"/>
        <v>0.0487962946464331</v>
      </c>
      <c r="E121" s="47" t="s">
        <v>114</v>
      </c>
      <c r="F121" s="48">
        <f t="shared" si="5"/>
        <v>0.0487962946464331</v>
      </c>
      <c r="H121" s="47">
        <v>19.288556655</v>
      </c>
      <c r="I121" s="47" t="s">
        <v>172</v>
      </c>
    </row>
    <row r="122" spans="1:9">
      <c r="A122" s="47" t="s">
        <v>108</v>
      </c>
      <c r="B122" s="48">
        <v>2.30141110097844</v>
      </c>
      <c r="C122" s="47" t="s">
        <v>170</v>
      </c>
      <c r="D122" s="37">
        <f t="shared" si="6"/>
        <v>0.388230383391198</v>
      </c>
      <c r="E122" s="47" t="s">
        <v>114</v>
      </c>
      <c r="F122" s="48">
        <f t="shared" si="5"/>
        <v>0.388230383391198</v>
      </c>
      <c r="H122" s="47">
        <v>5.92795206</v>
      </c>
      <c r="I122" s="47" t="s">
        <v>172</v>
      </c>
    </row>
    <row r="123" spans="1:9">
      <c r="A123" s="47" t="s">
        <v>108</v>
      </c>
      <c r="B123" s="48">
        <v>2.78873970342886</v>
      </c>
      <c r="C123" s="47" t="s">
        <v>170</v>
      </c>
      <c r="D123" s="37">
        <f t="shared" si="6"/>
        <v>0.115745327993387</v>
      </c>
      <c r="E123" s="47" t="s">
        <v>114</v>
      </c>
      <c r="F123" s="48">
        <f t="shared" si="5"/>
        <v>0.115745327993387</v>
      </c>
      <c r="H123" s="47">
        <v>24.0937561089999</v>
      </c>
      <c r="I123" s="47" t="s">
        <v>172</v>
      </c>
    </row>
    <row r="124" spans="1:9">
      <c r="A124" s="47" t="s">
        <v>108</v>
      </c>
      <c r="B124" s="48">
        <v>0.0655418581674152</v>
      </c>
      <c r="C124" s="47" t="s">
        <v>170</v>
      </c>
      <c r="D124" s="37">
        <f t="shared" si="6"/>
        <v>0.00562173822682097</v>
      </c>
      <c r="E124" s="47" t="s">
        <v>114</v>
      </c>
      <c r="F124" s="48">
        <f t="shared" si="5"/>
        <v>0.00562173822682097</v>
      </c>
      <c r="H124" s="47">
        <v>11.6586464049</v>
      </c>
      <c r="I124" s="47" t="s">
        <v>172</v>
      </c>
    </row>
    <row r="125" spans="1:9">
      <c r="A125" s="47" t="s">
        <v>108</v>
      </c>
      <c r="B125" s="48">
        <v>0.0504366668166977</v>
      </c>
      <c r="C125" s="47" t="s">
        <v>170</v>
      </c>
      <c r="D125" s="37">
        <f t="shared" si="6"/>
        <v>0.0160172092351382</v>
      </c>
      <c r="E125" s="47" t="s">
        <v>114</v>
      </c>
      <c r="F125" s="48">
        <f t="shared" si="5"/>
        <v>0.0160172092351382</v>
      </c>
      <c r="H125" s="47">
        <v>3.14890478586312</v>
      </c>
      <c r="I125" s="47" t="s">
        <v>172</v>
      </c>
    </row>
    <row r="126" spans="1:9">
      <c r="A126" s="47" t="s">
        <v>108</v>
      </c>
      <c r="B126" s="48">
        <v>2.58612380704944</v>
      </c>
      <c r="C126" s="47" t="s">
        <v>170</v>
      </c>
      <c r="D126" s="37">
        <f t="shared" si="6"/>
        <v>0.0207654089888306</v>
      </c>
      <c r="E126" s="47" t="s">
        <v>114</v>
      </c>
      <c r="F126" s="48">
        <f t="shared" si="5"/>
        <v>0.0207654089888306</v>
      </c>
      <c r="H126" s="47">
        <v>124.539988999999</v>
      </c>
      <c r="I126" s="47" t="s">
        <v>172</v>
      </c>
    </row>
    <row r="127" spans="1:9">
      <c r="A127" s="47" t="s">
        <v>108</v>
      </c>
      <c r="B127" s="48">
        <v>0.765647164204671</v>
      </c>
      <c r="C127" s="47" t="s">
        <v>170</v>
      </c>
      <c r="D127" s="37">
        <f t="shared" si="6"/>
        <v>0.0121635631143613</v>
      </c>
      <c r="E127" s="47" t="s">
        <v>114</v>
      </c>
      <c r="F127" s="48">
        <f t="shared" si="5"/>
        <v>0.0121635631143613</v>
      </c>
      <c r="H127" s="47">
        <v>62.9459605714285</v>
      </c>
      <c r="I127" s="47" t="s">
        <v>172</v>
      </c>
    </row>
    <row r="128" spans="1:9">
      <c r="A128" s="47" t="s">
        <v>108</v>
      </c>
      <c r="B128" s="48">
        <v>4.02013667615631</v>
      </c>
      <c r="C128" s="47" t="s">
        <v>170</v>
      </c>
      <c r="D128" s="37">
        <f t="shared" si="6"/>
        <v>0.0288365314160124</v>
      </c>
      <c r="E128" s="47" t="s">
        <v>114</v>
      </c>
      <c r="F128" s="48">
        <f t="shared" si="5"/>
        <v>0.0288365314160124</v>
      </c>
      <c r="H128" s="47">
        <v>139.411242571428</v>
      </c>
      <c r="I128" s="47" t="s">
        <v>172</v>
      </c>
    </row>
    <row r="129" spans="1:9">
      <c r="A129" s="47" t="s">
        <v>108</v>
      </c>
      <c r="B129" s="48">
        <v>0.234660013299592</v>
      </c>
      <c r="C129" s="47" t="s">
        <v>170</v>
      </c>
      <c r="D129" s="37">
        <f t="shared" si="6"/>
        <v>0.0629828062845713</v>
      </c>
      <c r="E129" s="47" t="s">
        <v>114</v>
      </c>
      <c r="F129" s="48">
        <f t="shared" si="5"/>
        <v>0.0629828062845713</v>
      </c>
      <c r="H129" s="47">
        <v>3.72577894099133</v>
      </c>
      <c r="I129" s="47" t="s">
        <v>172</v>
      </c>
    </row>
    <row r="130" spans="1:9">
      <c r="A130" s="47" t="s">
        <v>108</v>
      </c>
      <c r="B130" s="48">
        <v>0.00593788794700965</v>
      </c>
      <c r="C130" s="47" t="s">
        <v>170</v>
      </c>
      <c r="D130" s="37">
        <f t="shared" si="6"/>
        <v>0.00618806425804504</v>
      </c>
      <c r="E130" s="47" t="s">
        <v>114</v>
      </c>
      <c r="F130" s="48">
        <f t="shared" si="5"/>
        <v>0.00618806425804504</v>
      </c>
      <c r="H130" s="47">
        <v>0.95957115172</v>
      </c>
      <c r="I130" s="47" t="s">
        <v>172</v>
      </c>
    </row>
    <row r="131" spans="1:9">
      <c r="A131" s="47" t="s">
        <v>108</v>
      </c>
      <c r="B131" s="48">
        <v>0.271904203734323</v>
      </c>
      <c r="C131" s="47" t="s">
        <v>170</v>
      </c>
      <c r="D131" s="37">
        <f t="shared" si="6"/>
        <v>0.0418247131734263</v>
      </c>
      <c r="E131" s="47" t="s">
        <v>114</v>
      </c>
      <c r="F131" s="48">
        <f t="shared" si="5"/>
        <v>0.0418247131734263</v>
      </c>
      <c r="H131" s="47">
        <v>6.50104168334333</v>
      </c>
      <c r="I131" s="47" t="s">
        <v>172</v>
      </c>
    </row>
    <row r="132" spans="1:9">
      <c r="A132" s="47" t="s">
        <v>108</v>
      </c>
      <c r="B132" s="48">
        <v>1.43189339425841</v>
      </c>
      <c r="C132" s="47" t="s">
        <v>170</v>
      </c>
      <c r="D132" s="37">
        <f t="shared" si="6"/>
        <v>0.167745629707237</v>
      </c>
      <c r="E132" s="47" t="s">
        <v>114</v>
      </c>
      <c r="F132" s="48">
        <f t="shared" si="5"/>
        <v>0.167745629707237</v>
      </c>
      <c r="H132" s="47">
        <v>8.53609955</v>
      </c>
      <c r="I132" s="47" t="s">
        <v>172</v>
      </c>
    </row>
    <row r="133" spans="1:9">
      <c r="A133" s="47" t="s">
        <v>108</v>
      </c>
      <c r="B133" s="48">
        <v>0.00220710830915864</v>
      </c>
      <c r="C133" s="47" t="s">
        <v>170</v>
      </c>
      <c r="D133" s="37">
        <f t="shared" si="6"/>
        <v>0.000498482133836549</v>
      </c>
      <c r="E133" s="47" t="s">
        <v>114</v>
      </c>
      <c r="F133" s="48">
        <f t="shared" si="5"/>
        <v>0.000498482133836549</v>
      </c>
      <c r="H133" s="47">
        <v>4.42765780224</v>
      </c>
      <c r="I133" s="47" t="s">
        <v>172</v>
      </c>
    </row>
    <row r="134" spans="1:9">
      <c r="A134" s="47" t="s">
        <v>108</v>
      </c>
      <c r="B134" s="48">
        <v>0.0862850700437399</v>
      </c>
      <c r="C134" s="47" t="s">
        <v>170</v>
      </c>
      <c r="D134" s="37">
        <f t="shared" si="6"/>
        <v>0.0164015936562683</v>
      </c>
      <c r="E134" s="47" t="s">
        <v>114</v>
      </c>
      <c r="F134" s="48">
        <f t="shared" si="5"/>
        <v>0.0164015936562683</v>
      </c>
      <c r="H134" s="47">
        <v>5.2607735475</v>
      </c>
      <c r="I134" s="47" t="s">
        <v>172</v>
      </c>
    </row>
    <row r="135" spans="1:9">
      <c r="A135" s="47" t="s">
        <v>108</v>
      </c>
      <c r="B135" s="48">
        <v>1.03592068130756</v>
      </c>
      <c r="C135" s="47" t="s">
        <v>170</v>
      </c>
      <c r="D135" s="37">
        <f t="shared" si="6"/>
        <v>0.512682333127564</v>
      </c>
      <c r="E135" s="47" t="s">
        <v>114</v>
      </c>
      <c r="F135" s="48">
        <f t="shared" si="5"/>
        <v>0.512682333127564</v>
      </c>
      <c r="H135" s="47">
        <v>2.02058977727599</v>
      </c>
      <c r="I135" s="47" t="s">
        <v>172</v>
      </c>
    </row>
    <row r="136" spans="1:9">
      <c r="A136" s="47" t="s">
        <v>108</v>
      </c>
      <c r="B136" s="48">
        <v>0.0108479971719114</v>
      </c>
      <c r="C136" s="47" t="s">
        <v>170</v>
      </c>
      <c r="D136" s="37">
        <f t="shared" si="6"/>
        <v>0.0032953771140782</v>
      </c>
      <c r="E136" s="47" t="s">
        <v>114</v>
      </c>
      <c r="F136" s="48">
        <f t="shared" si="5"/>
        <v>0.0032953771140782</v>
      </c>
      <c r="H136" s="47">
        <v>3.29188338584</v>
      </c>
      <c r="I136" s="47" t="s">
        <v>172</v>
      </c>
    </row>
    <row r="137" spans="1:9">
      <c r="A137" s="47" t="s">
        <v>108</v>
      </c>
      <c r="B137" s="48">
        <v>0.0779888296696585</v>
      </c>
      <c r="C137" s="47" t="s">
        <v>170</v>
      </c>
      <c r="D137" s="37">
        <f t="shared" si="6"/>
        <v>0.0149039553155347</v>
      </c>
      <c r="E137" s="47" t="s">
        <v>114</v>
      </c>
      <c r="F137" s="48">
        <f t="shared" si="5"/>
        <v>0.0149039553155347</v>
      </c>
      <c r="H137" s="47">
        <v>5.2327605671475</v>
      </c>
      <c r="I137" s="47" t="s">
        <v>172</v>
      </c>
    </row>
    <row r="138" spans="1:9">
      <c r="A138" s="47" t="s">
        <v>108</v>
      </c>
      <c r="B138" s="48">
        <v>0.0351149968989681</v>
      </c>
      <c r="C138" s="47" t="s">
        <v>170</v>
      </c>
      <c r="D138" s="37">
        <f t="shared" si="6"/>
        <v>0.0320223317051145</v>
      </c>
      <c r="E138" s="47" t="s">
        <v>114</v>
      </c>
      <c r="F138" s="48">
        <f t="shared" si="5"/>
        <v>0.0320223317051145</v>
      </c>
      <c r="H138" s="47">
        <v>1.096578388555</v>
      </c>
      <c r="I138" s="47" t="s">
        <v>172</v>
      </c>
    </row>
    <row r="139" spans="1:9">
      <c r="A139" s="47" t="s">
        <v>108</v>
      </c>
      <c r="B139" s="48">
        <v>0.027519731948914</v>
      </c>
      <c r="C139" s="47" t="s">
        <v>170</v>
      </c>
      <c r="D139" s="37">
        <f t="shared" si="6"/>
        <v>0.0213821985161558</v>
      </c>
      <c r="E139" s="47" t="s">
        <v>114</v>
      </c>
      <c r="F139" s="48">
        <f t="shared" si="5"/>
        <v>0.0213821985161558</v>
      </c>
      <c r="H139" s="47">
        <v>1.2870394</v>
      </c>
      <c r="I139" s="47" t="s">
        <v>172</v>
      </c>
    </row>
    <row r="140" spans="1:9">
      <c r="A140" s="47" t="s">
        <v>108</v>
      </c>
      <c r="B140" s="48">
        <v>0.0574418449728884</v>
      </c>
      <c r="C140" s="47" t="s">
        <v>170</v>
      </c>
      <c r="D140" s="37">
        <f t="shared" si="6"/>
        <v>0.038057779103223</v>
      </c>
      <c r="E140" s="47" t="s">
        <v>114</v>
      </c>
      <c r="F140" s="48">
        <f t="shared" si="5"/>
        <v>0.038057779103223</v>
      </c>
      <c r="H140" s="47">
        <v>1.50933255503666</v>
      </c>
      <c r="I140" s="47" t="s">
        <v>172</v>
      </c>
    </row>
    <row r="141" spans="1:9">
      <c r="A141" s="47" t="s">
        <v>108</v>
      </c>
      <c r="B141" s="48">
        <v>0.0163202098929479</v>
      </c>
      <c r="C141" s="47" t="s">
        <v>170</v>
      </c>
      <c r="D141" s="37">
        <f t="shared" si="6"/>
        <v>0.00320212817453902</v>
      </c>
      <c r="E141" s="47" t="s">
        <v>114</v>
      </c>
      <c r="F141" s="48">
        <f t="shared" si="5"/>
        <v>0.00320212817453902</v>
      </c>
      <c r="H141" s="47">
        <v>5.096676024</v>
      </c>
      <c r="I141" s="47" t="s">
        <v>172</v>
      </c>
    </row>
    <row r="142" spans="1:9">
      <c r="A142" s="47" t="s">
        <v>108</v>
      </c>
      <c r="B142" s="48">
        <v>0.0613101044752653</v>
      </c>
      <c r="C142" s="47" t="s">
        <v>170</v>
      </c>
      <c r="D142" s="37">
        <f t="shared" si="6"/>
        <v>0.0106782374187016</v>
      </c>
      <c r="E142" s="47" t="s">
        <v>114</v>
      </c>
      <c r="F142" s="48">
        <f t="shared" si="5"/>
        <v>0.0106782374187016</v>
      </c>
      <c r="H142" s="47">
        <v>5.741594054454</v>
      </c>
      <c r="I142" s="47" t="s">
        <v>172</v>
      </c>
    </row>
    <row r="143" spans="1:9">
      <c r="A143" s="47" t="s">
        <v>108</v>
      </c>
      <c r="B143" s="48">
        <v>0.070888343802539</v>
      </c>
      <c r="C143" s="47" t="s">
        <v>170</v>
      </c>
      <c r="D143" s="37">
        <f t="shared" si="6"/>
        <v>0.0108587754786079</v>
      </c>
      <c r="E143" s="47" t="s">
        <v>114</v>
      </c>
      <c r="F143" s="48">
        <f t="shared" si="5"/>
        <v>0.0108587754786079</v>
      </c>
      <c r="H143" s="47">
        <v>6.52820789436073</v>
      </c>
      <c r="I143" s="47" t="s">
        <v>172</v>
      </c>
    </row>
    <row r="144" spans="1:9">
      <c r="A144" s="47" t="s">
        <v>108</v>
      </c>
      <c r="B144" s="48">
        <v>0.809929158446059</v>
      </c>
      <c r="C144" s="47" t="s">
        <v>170</v>
      </c>
      <c r="D144" s="37">
        <f t="shared" si="6"/>
        <v>0.00981765967549915</v>
      </c>
      <c r="E144" s="47" t="s">
        <v>114</v>
      </c>
      <c r="F144" s="48">
        <f t="shared" si="5"/>
        <v>0.00981765967549915</v>
      </c>
      <c r="H144" s="47">
        <v>82.497171955075</v>
      </c>
      <c r="I144" s="47" t="s">
        <v>172</v>
      </c>
    </row>
    <row r="145" spans="1:9">
      <c r="A145" s="47" t="s">
        <v>108</v>
      </c>
      <c r="B145" s="48">
        <v>0.0534764178666487</v>
      </c>
      <c r="C145" s="47" t="s">
        <v>170</v>
      </c>
      <c r="D145" s="37">
        <f t="shared" si="6"/>
        <v>0.0463922003678017</v>
      </c>
      <c r="E145" s="47" t="s">
        <v>114</v>
      </c>
      <c r="F145" s="48">
        <f t="shared" si="5"/>
        <v>0.0463922003678017</v>
      </c>
      <c r="H145" s="47">
        <v>1.15270276992</v>
      </c>
      <c r="I145" s="47" t="s">
        <v>172</v>
      </c>
    </row>
    <row r="146" spans="1:9">
      <c r="A146" s="47" t="s">
        <v>108</v>
      </c>
      <c r="B146" s="48">
        <v>0.0370091502323406</v>
      </c>
      <c r="C146" s="47" t="s">
        <v>170</v>
      </c>
      <c r="D146" s="37">
        <f t="shared" si="6"/>
        <v>0.152948182935</v>
      </c>
      <c r="E146" s="47" t="s">
        <v>114</v>
      </c>
      <c r="F146" s="48">
        <f t="shared" si="5"/>
        <v>0.152948182935</v>
      </c>
      <c r="H146" s="47">
        <v>0.241971820273725</v>
      </c>
      <c r="I146" s="47" t="s">
        <v>172</v>
      </c>
    </row>
    <row r="147" spans="1:9">
      <c r="A147" s="47" t="s">
        <v>108</v>
      </c>
      <c r="B147" s="48">
        <v>0.034842496353765</v>
      </c>
      <c r="C147" s="47" t="s">
        <v>170</v>
      </c>
      <c r="D147" s="37">
        <f t="shared" si="6"/>
        <v>0.0373413550675002</v>
      </c>
      <c r="E147" s="47" t="s">
        <v>114</v>
      </c>
      <c r="F147" s="48">
        <f t="shared" si="5"/>
        <v>0.0373413550675002</v>
      </c>
      <c r="H147" s="47">
        <v>0.9330806632695</v>
      </c>
      <c r="I147" s="47" t="s">
        <v>172</v>
      </c>
    </row>
    <row r="148" spans="1:9">
      <c r="A148" s="47" t="s">
        <v>108</v>
      </c>
      <c r="B148" s="48">
        <v>0.00900989805040698</v>
      </c>
      <c r="C148" s="47" t="s">
        <v>170</v>
      </c>
      <c r="D148" s="37">
        <f t="shared" si="6"/>
        <v>0.0899159223771141</v>
      </c>
      <c r="E148" s="47" t="s">
        <v>114</v>
      </c>
      <c r="F148" s="48">
        <f t="shared" si="5"/>
        <v>0.0899159223771141</v>
      </c>
      <c r="H148" s="47">
        <v>0.100203588109999</v>
      </c>
      <c r="I148" s="47" t="s">
        <v>172</v>
      </c>
    </row>
    <row r="149" spans="1:9">
      <c r="A149" s="47" t="s">
        <v>108</v>
      </c>
      <c r="B149" s="48">
        <v>0.00354503874124469</v>
      </c>
      <c r="C149" s="47" t="s">
        <v>170</v>
      </c>
      <c r="D149" s="37">
        <f t="shared" si="6"/>
        <v>0.00463958682843951</v>
      </c>
      <c r="E149" s="47" t="s">
        <v>114</v>
      </c>
      <c r="F149" s="48">
        <f t="shared" ref="F149:F194" si="7">D149</f>
        <v>0.00463958682843951</v>
      </c>
      <c r="H149" s="47">
        <v>0.764085008499999</v>
      </c>
      <c r="I149" s="47" t="s">
        <v>172</v>
      </c>
    </row>
    <row r="150" spans="1:9">
      <c r="A150" s="47" t="s">
        <v>108</v>
      </c>
      <c r="B150" s="48">
        <v>0.0404187452878664</v>
      </c>
      <c r="C150" s="47" t="s">
        <v>170</v>
      </c>
      <c r="D150" s="37">
        <f t="shared" si="6"/>
        <v>0.0852488836701044</v>
      </c>
      <c r="E150" s="47" t="s">
        <v>114</v>
      </c>
      <c r="F150" s="48">
        <f t="shared" si="7"/>
        <v>0.0852488836701044</v>
      </c>
      <c r="H150" s="47">
        <v>0.47412638791</v>
      </c>
      <c r="I150" s="47" t="s">
        <v>172</v>
      </c>
    </row>
    <row r="151" spans="1:9">
      <c r="A151" s="47" t="s">
        <v>108</v>
      </c>
      <c r="B151" s="48">
        <v>0.231639140309866</v>
      </c>
      <c r="C151" s="47" t="s">
        <v>170</v>
      </c>
      <c r="D151" s="37">
        <f t="shared" si="6"/>
        <v>0.0444174239750504</v>
      </c>
      <c r="E151" s="47" t="s">
        <v>114</v>
      </c>
      <c r="F151" s="48">
        <f t="shared" si="7"/>
        <v>0.0444174239750504</v>
      </c>
      <c r="H151" s="47">
        <v>5.21505120242857</v>
      </c>
      <c r="I151" s="47" t="s">
        <v>172</v>
      </c>
    </row>
    <row r="152" spans="1:9">
      <c r="A152" s="47" t="s">
        <v>108</v>
      </c>
      <c r="B152" s="48">
        <v>0.0480923015452553</v>
      </c>
      <c r="C152" s="47" t="s">
        <v>170</v>
      </c>
      <c r="D152" s="37">
        <f t="shared" si="6"/>
        <v>0.0178020619146679</v>
      </c>
      <c r="E152" s="47" t="s">
        <v>114</v>
      </c>
      <c r="F152" s="48">
        <f t="shared" si="7"/>
        <v>0.0178020619146679</v>
      </c>
      <c r="H152" s="47">
        <v>2.70150175725599</v>
      </c>
      <c r="I152" s="47" t="s">
        <v>172</v>
      </c>
    </row>
    <row r="153" spans="1:9">
      <c r="A153" s="47" t="s">
        <v>108</v>
      </c>
      <c r="B153" s="48">
        <v>0.918628828268366</v>
      </c>
      <c r="C153" s="47" t="s">
        <v>170</v>
      </c>
      <c r="D153" s="37">
        <f t="shared" si="6"/>
        <v>0.0158351067058282</v>
      </c>
      <c r="E153" s="47" t="s">
        <v>114</v>
      </c>
      <c r="F153" s="48">
        <f t="shared" si="7"/>
        <v>0.0158351067058282</v>
      </c>
      <c r="H153" s="47">
        <v>58.012165332</v>
      </c>
      <c r="I153" s="47" t="s">
        <v>172</v>
      </c>
    </row>
    <row r="154" spans="1:9">
      <c r="A154" s="47" t="s">
        <v>108</v>
      </c>
      <c r="B154" s="48">
        <v>0.115712466449237</v>
      </c>
      <c r="C154" s="47" t="s">
        <v>170</v>
      </c>
      <c r="D154" s="37">
        <f t="shared" si="6"/>
        <v>0.128611743901391</v>
      </c>
      <c r="E154" s="47" t="s">
        <v>114</v>
      </c>
      <c r="F154" s="48">
        <f t="shared" si="7"/>
        <v>0.128611743901391</v>
      </c>
      <c r="H154" s="47">
        <v>0.899703735748703</v>
      </c>
      <c r="I154" s="47" t="s">
        <v>172</v>
      </c>
    </row>
    <row r="155" spans="1:9">
      <c r="A155" s="47" t="s">
        <v>108</v>
      </c>
      <c r="B155" s="48">
        <v>0.00632082956835944</v>
      </c>
      <c r="C155" s="47" t="s">
        <v>170</v>
      </c>
      <c r="D155" s="37">
        <f t="shared" si="6"/>
        <v>0.00928761745394455</v>
      </c>
      <c r="E155" s="47" t="s">
        <v>114</v>
      </c>
      <c r="F155" s="48">
        <f t="shared" si="7"/>
        <v>0.00928761745394455</v>
      </c>
      <c r="H155" s="47">
        <v>0.680565236424</v>
      </c>
      <c r="I155" s="47" t="s">
        <v>172</v>
      </c>
    </row>
    <row r="156" spans="1:9">
      <c r="A156" s="47" t="s">
        <v>108</v>
      </c>
      <c r="B156" s="48">
        <v>2.23832683028964</v>
      </c>
      <c r="C156" s="47" t="s">
        <v>170</v>
      </c>
      <c r="D156" s="37">
        <f t="shared" si="6"/>
        <v>0.0454980246706453</v>
      </c>
      <c r="E156" s="47" t="s">
        <v>114</v>
      </c>
      <c r="F156" s="48">
        <f t="shared" si="7"/>
        <v>0.0454980246706453</v>
      </c>
      <c r="H156" s="47">
        <v>49.196132062713</v>
      </c>
      <c r="I156" s="47" t="s">
        <v>172</v>
      </c>
    </row>
    <row r="157" spans="1:9">
      <c r="A157" s="47" t="s">
        <v>108</v>
      </c>
      <c r="B157" s="48">
        <v>0.043145724799091</v>
      </c>
      <c r="C157" s="47" t="s">
        <v>170</v>
      </c>
      <c r="D157" s="37">
        <f t="shared" si="6"/>
        <v>0.0260135159231857</v>
      </c>
      <c r="E157" s="47" t="s">
        <v>114</v>
      </c>
      <c r="F157" s="48">
        <f t="shared" si="7"/>
        <v>0.0260135159231857</v>
      </c>
      <c r="H157" s="47">
        <v>1.65858874773</v>
      </c>
      <c r="I157" s="47" t="s">
        <v>172</v>
      </c>
    </row>
    <row r="158" spans="1:9">
      <c r="A158" s="47" t="s">
        <v>108</v>
      </c>
      <c r="B158" s="48">
        <v>0.6174909705854</v>
      </c>
      <c r="C158" s="47" t="s">
        <v>170</v>
      </c>
      <c r="D158" s="37">
        <f t="shared" si="6"/>
        <v>0.114714440147467</v>
      </c>
      <c r="E158" s="47" t="s">
        <v>114</v>
      </c>
      <c r="F158" s="48">
        <f t="shared" si="7"/>
        <v>0.114714440147467</v>
      </c>
      <c r="H158" s="47">
        <v>5.38285302</v>
      </c>
      <c r="I158" s="47" t="s">
        <v>172</v>
      </c>
    </row>
    <row r="159" spans="1:9">
      <c r="A159" s="47" t="s">
        <v>108</v>
      </c>
      <c r="B159" s="48">
        <v>0.00377828447671671</v>
      </c>
      <c r="C159" s="47" t="s">
        <v>170</v>
      </c>
      <c r="D159" s="37">
        <f t="shared" si="6"/>
        <v>0.00172639610586681</v>
      </c>
      <c r="E159" s="47" t="s">
        <v>114</v>
      </c>
      <c r="F159" s="48">
        <f t="shared" si="7"/>
        <v>0.00172639610586681</v>
      </c>
      <c r="H159" s="47">
        <v>2.18853857691</v>
      </c>
      <c r="I159" s="47" t="s">
        <v>172</v>
      </c>
    </row>
    <row r="160" spans="1:9">
      <c r="A160" s="47" t="s">
        <v>108</v>
      </c>
      <c r="B160" s="48">
        <v>0.0162857359036605</v>
      </c>
      <c r="C160" s="47" t="s">
        <v>170</v>
      </c>
      <c r="D160" s="37">
        <f t="shared" si="6"/>
        <v>0.00586924694450137</v>
      </c>
      <c r="E160" s="47" t="s">
        <v>114</v>
      </c>
      <c r="F160" s="48">
        <f t="shared" si="7"/>
        <v>0.00586924694450137</v>
      </c>
      <c r="H160" s="47">
        <v>2.77475731685099</v>
      </c>
      <c r="I160" s="47" t="s">
        <v>172</v>
      </c>
    </row>
    <row r="161" spans="1:9">
      <c r="A161" s="47" t="s">
        <v>108</v>
      </c>
      <c r="B161" s="48">
        <v>1.21886809405624</v>
      </c>
      <c r="C161" s="47" t="s">
        <v>170</v>
      </c>
      <c r="D161" s="37">
        <f t="shared" si="6"/>
        <v>0.0423672418038928</v>
      </c>
      <c r="E161" s="47" t="s">
        <v>114</v>
      </c>
      <c r="F161" s="48">
        <f t="shared" si="7"/>
        <v>0.0423672418038928</v>
      </c>
      <c r="H161" s="47">
        <v>28.769116</v>
      </c>
      <c r="I161" s="47" t="s">
        <v>172</v>
      </c>
    </row>
    <row r="162" spans="1:9">
      <c r="A162" s="47" t="s">
        <v>108</v>
      </c>
      <c r="B162" s="48">
        <v>0.105590683388041</v>
      </c>
      <c r="C162" s="47" t="s">
        <v>170</v>
      </c>
      <c r="D162" s="37">
        <f t="shared" si="6"/>
        <v>0.00714244909267719</v>
      </c>
      <c r="E162" s="47" t="s">
        <v>114</v>
      </c>
      <c r="F162" s="48">
        <f t="shared" si="7"/>
        <v>0.00714244909267719</v>
      </c>
      <c r="H162" s="47">
        <v>14.783540214</v>
      </c>
      <c r="I162" s="47" t="s">
        <v>172</v>
      </c>
    </row>
    <row r="163" spans="1:9">
      <c r="A163" s="47" t="s">
        <v>108</v>
      </c>
      <c r="B163" s="48">
        <v>1.17132962147605</v>
      </c>
      <c r="C163" s="47" t="s">
        <v>170</v>
      </c>
      <c r="D163" s="37">
        <f t="shared" si="6"/>
        <v>0.00442489197659906</v>
      </c>
      <c r="E163" s="47" t="s">
        <v>114</v>
      </c>
      <c r="F163" s="48">
        <f t="shared" si="7"/>
        <v>0.00442489197659906</v>
      </c>
      <c r="H163" s="47">
        <v>264.7137213</v>
      </c>
      <c r="I163" s="47" t="s">
        <v>172</v>
      </c>
    </row>
    <row r="164" spans="1:9">
      <c r="A164" s="47" t="s">
        <v>108</v>
      </c>
      <c r="B164" s="48">
        <v>0.15467971113576</v>
      </c>
      <c r="C164" s="47" t="s">
        <v>170</v>
      </c>
      <c r="D164" s="37">
        <f t="shared" si="6"/>
        <v>0.0407859422476365</v>
      </c>
      <c r="E164" s="47" t="s">
        <v>114</v>
      </c>
      <c r="F164" s="48">
        <f t="shared" si="7"/>
        <v>0.0407859422476365</v>
      </c>
      <c r="H164" s="47">
        <v>3.79247609866666</v>
      </c>
      <c r="I164" s="47" t="s">
        <v>172</v>
      </c>
    </row>
    <row r="165" spans="1:9">
      <c r="A165" s="47" t="s">
        <v>108</v>
      </c>
      <c r="B165" s="48">
        <v>0.363682204176439</v>
      </c>
      <c r="C165" s="47" t="s">
        <v>170</v>
      </c>
      <c r="D165" s="37">
        <f t="shared" si="6"/>
        <v>0.0565975062042721</v>
      </c>
      <c r="E165" s="47" t="s">
        <v>114</v>
      </c>
      <c r="F165" s="48">
        <f t="shared" si="7"/>
        <v>0.0565975062042721</v>
      </c>
      <c r="H165" s="47">
        <v>6.42576375828</v>
      </c>
      <c r="I165" s="47" t="s">
        <v>172</v>
      </c>
    </row>
    <row r="166" spans="1:9">
      <c r="A166" s="47" t="s">
        <v>139</v>
      </c>
      <c r="B166" s="48">
        <v>0.67537717963696</v>
      </c>
      <c r="C166" s="47" t="s">
        <v>170</v>
      </c>
      <c r="D166" s="37">
        <f t="shared" si="6"/>
        <v>0.0939030840762657</v>
      </c>
      <c r="E166" s="47" t="s">
        <v>114</v>
      </c>
      <c r="F166" s="48">
        <f t="shared" si="7"/>
        <v>0.0939030840762657</v>
      </c>
      <c r="H166" s="47">
        <v>7.192279</v>
      </c>
      <c r="I166" s="47" t="s">
        <v>172</v>
      </c>
    </row>
    <row r="167" spans="1:9">
      <c r="A167" s="47" t="s">
        <v>154</v>
      </c>
      <c r="B167" s="48">
        <v>0.00170586593033289</v>
      </c>
      <c r="C167" s="47" t="s">
        <v>170</v>
      </c>
      <c r="D167" s="37">
        <f t="shared" si="6"/>
        <v>0.0024103675451643</v>
      </c>
      <c r="E167" s="47" t="s">
        <v>114</v>
      </c>
      <c r="F167" s="48">
        <f t="shared" si="7"/>
        <v>0.0024103675451643</v>
      </c>
      <c r="H167" s="47">
        <v>0.7077202536</v>
      </c>
      <c r="I167" s="47" t="s">
        <v>172</v>
      </c>
    </row>
    <row r="168" spans="1:9">
      <c r="A168" s="47" t="s">
        <v>154</v>
      </c>
      <c r="B168" s="48">
        <v>0.174420539452404</v>
      </c>
      <c r="C168" s="47" t="s">
        <v>170</v>
      </c>
      <c r="D168" s="37">
        <f t="shared" si="6"/>
        <v>0.0259579411624551</v>
      </c>
      <c r="E168" s="47" t="s">
        <v>114</v>
      </c>
      <c r="F168" s="48">
        <f t="shared" si="7"/>
        <v>0.0259579411624551</v>
      </c>
      <c r="H168" s="47">
        <v>6.719351829978</v>
      </c>
      <c r="I168" s="47" t="s">
        <v>172</v>
      </c>
    </row>
    <row r="169" spans="1:9">
      <c r="A169" s="47" t="s">
        <v>154</v>
      </c>
      <c r="B169" s="48">
        <v>0.00526985063233073</v>
      </c>
      <c r="C169" s="47" t="s">
        <v>170</v>
      </c>
      <c r="D169" s="37">
        <f t="shared" si="6"/>
        <v>0.00759879520180113</v>
      </c>
      <c r="E169" s="47" t="s">
        <v>114</v>
      </c>
      <c r="F169" s="48">
        <f t="shared" si="7"/>
        <v>0.00759879520180113</v>
      </c>
      <c r="H169" s="47">
        <v>0.693511338624</v>
      </c>
      <c r="I169" s="47" t="s">
        <v>172</v>
      </c>
    </row>
    <row r="170" spans="1:9">
      <c r="A170" s="47" t="s">
        <v>173</v>
      </c>
      <c r="B170" s="48">
        <v>0.378546615843746</v>
      </c>
      <c r="C170" s="47" t="s">
        <v>170</v>
      </c>
      <c r="D170" s="37">
        <f t="shared" si="6"/>
        <v>0.0565750402907455</v>
      </c>
      <c r="E170" s="47" t="s">
        <v>114</v>
      </c>
      <c r="F170" s="48">
        <f t="shared" si="7"/>
        <v>0.0565750402907455</v>
      </c>
      <c r="H170" s="47">
        <v>6.69105340267285</v>
      </c>
      <c r="I170" s="47" t="s">
        <v>172</v>
      </c>
    </row>
    <row r="171" spans="1:9">
      <c r="A171" s="47" t="s">
        <v>173</v>
      </c>
      <c r="B171" s="48">
        <v>0.0368160073021576</v>
      </c>
      <c r="C171" s="47" t="s">
        <v>170</v>
      </c>
      <c r="D171" s="37">
        <f t="shared" si="6"/>
        <v>0.00552344969653549</v>
      </c>
      <c r="E171" s="47" t="s">
        <v>114</v>
      </c>
      <c r="F171" s="48">
        <f t="shared" si="7"/>
        <v>0.00552344969653549</v>
      </c>
      <c r="H171" s="47">
        <v>6.665401031035</v>
      </c>
      <c r="I171" s="47" t="s">
        <v>172</v>
      </c>
    </row>
    <row r="172" spans="1:9">
      <c r="A172" s="47" t="s">
        <v>112</v>
      </c>
      <c r="B172" s="48">
        <v>0.356639616504394</v>
      </c>
      <c r="C172" s="47" t="s">
        <v>170</v>
      </c>
      <c r="D172" s="37">
        <f t="shared" ref="D172:D188" si="8">B172/H172</f>
        <v>0.209175610632071</v>
      </c>
      <c r="E172" s="47" t="s">
        <v>114</v>
      </c>
      <c r="F172" s="48">
        <f t="shared" si="7"/>
        <v>0.209175610632071</v>
      </c>
      <c r="H172" s="47">
        <v>1.70497705457499</v>
      </c>
      <c r="I172" s="47" t="s">
        <v>172</v>
      </c>
    </row>
    <row r="173" spans="1:9">
      <c r="A173" s="47" t="s">
        <v>108</v>
      </c>
      <c r="B173" s="48">
        <v>0.338348541642431</v>
      </c>
      <c r="C173" s="47" t="s">
        <v>170</v>
      </c>
      <c r="D173" s="37">
        <f t="shared" si="8"/>
        <v>0.034494547230012</v>
      </c>
      <c r="E173" s="47" t="s">
        <v>114</v>
      </c>
      <c r="F173" s="48">
        <f t="shared" si="7"/>
        <v>0.034494547230012</v>
      </c>
      <c r="H173" s="47">
        <v>9.80875439199999</v>
      </c>
      <c r="I173" s="47" t="s">
        <v>172</v>
      </c>
    </row>
    <row r="174" spans="1:9">
      <c r="A174" s="47" t="s">
        <v>108</v>
      </c>
      <c r="B174" s="48">
        <v>0.897059329136414</v>
      </c>
      <c r="C174" s="47" t="s">
        <v>170</v>
      </c>
      <c r="D174" s="37">
        <f t="shared" si="8"/>
        <v>0.0079876135306063</v>
      </c>
      <c r="E174" s="47" t="s">
        <v>114</v>
      </c>
      <c r="F174" s="48">
        <f t="shared" si="7"/>
        <v>0.0079876135306063</v>
      </c>
      <c r="H174" s="47">
        <v>112.306300962</v>
      </c>
      <c r="I174" s="47" t="s">
        <v>172</v>
      </c>
    </row>
    <row r="175" spans="1:9">
      <c r="A175" s="47" t="s">
        <v>108</v>
      </c>
      <c r="B175" s="48">
        <v>3.25779055884131</v>
      </c>
      <c r="C175" s="47" t="s">
        <v>170</v>
      </c>
      <c r="D175" s="37">
        <f t="shared" si="8"/>
        <v>0.047793293194758</v>
      </c>
      <c r="E175" s="47" t="s">
        <v>114</v>
      </c>
      <c r="F175" s="48">
        <f t="shared" si="7"/>
        <v>0.047793293194758</v>
      </c>
      <c r="H175" s="47">
        <v>68.164178299365</v>
      </c>
      <c r="I175" s="47" t="s">
        <v>172</v>
      </c>
    </row>
    <row r="176" spans="1:9">
      <c r="A176" s="47" t="s">
        <v>108</v>
      </c>
      <c r="B176" s="48">
        <v>0.834448962558084</v>
      </c>
      <c r="C176" s="47" t="s">
        <v>170</v>
      </c>
      <c r="D176" s="37">
        <f t="shared" si="8"/>
        <v>0.0263042698746421</v>
      </c>
      <c r="E176" s="47" t="s">
        <v>114</v>
      </c>
      <c r="F176" s="48">
        <f t="shared" si="7"/>
        <v>0.0263042698746421</v>
      </c>
      <c r="H176" s="47">
        <v>31.7229471311999</v>
      </c>
      <c r="I176" s="47" t="s">
        <v>172</v>
      </c>
    </row>
    <row r="177" spans="1:9">
      <c r="A177" s="47" t="s">
        <v>108</v>
      </c>
      <c r="B177" s="48">
        <v>0.547614864741447</v>
      </c>
      <c r="C177" s="47" t="s">
        <v>170</v>
      </c>
      <c r="D177" s="37">
        <f t="shared" si="8"/>
        <v>0.0183105853857354</v>
      </c>
      <c r="E177" s="47" t="s">
        <v>114</v>
      </c>
      <c r="F177" s="48">
        <f t="shared" si="7"/>
        <v>0.0183105853857354</v>
      </c>
      <c r="H177" s="47">
        <v>29.907010246</v>
      </c>
      <c r="I177" s="47" t="s">
        <v>172</v>
      </c>
    </row>
    <row r="178" spans="1:9">
      <c r="A178" s="47" t="s">
        <v>108</v>
      </c>
      <c r="B178" s="48">
        <v>8.54139298250004</v>
      </c>
      <c r="C178" s="47" t="s">
        <v>170</v>
      </c>
      <c r="D178" s="37">
        <f t="shared" si="8"/>
        <v>0.202176500487193</v>
      </c>
      <c r="E178" s="47" t="s">
        <v>114</v>
      </c>
      <c r="F178" s="48">
        <f t="shared" si="7"/>
        <v>0.202176500487193</v>
      </c>
      <c r="H178" s="47">
        <v>42.2472095516417</v>
      </c>
      <c r="I178" s="47" t="s">
        <v>172</v>
      </c>
    </row>
    <row r="179" spans="1:9">
      <c r="A179" s="47" t="s">
        <v>174</v>
      </c>
      <c r="B179" s="48">
        <v>0.00300362800147014</v>
      </c>
      <c r="C179" s="47" t="s">
        <v>170</v>
      </c>
      <c r="D179" s="37">
        <f t="shared" si="8"/>
        <v>0.0186130646873089</v>
      </c>
      <c r="E179" s="47" t="s">
        <v>114</v>
      </c>
      <c r="F179" s="48">
        <f t="shared" si="7"/>
        <v>0.0186130646873089</v>
      </c>
      <c r="H179" s="47">
        <v>0.1613720283</v>
      </c>
      <c r="I179" s="47" t="s">
        <v>172</v>
      </c>
    </row>
    <row r="180" spans="1:9">
      <c r="A180" s="47" t="s">
        <v>174</v>
      </c>
      <c r="B180" s="48">
        <v>0.415169564188956</v>
      </c>
      <c r="C180" s="47" t="s">
        <v>170</v>
      </c>
      <c r="D180" s="37">
        <f t="shared" si="8"/>
        <v>0.0480224635898103</v>
      </c>
      <c r="E180" s="47" t="s">
        <v>114</v>
      </c>
      <c r="F180" s="48">
        <f t="shared" si="7"/>
        <v>0.0480224635898103</v>
      </c>
      <c r="H180" s="47">
        <v>8.64531998473</v>
      </c>
      <c r="I180" s="47" t="s">
        <v>172</v>
      </c>
    </row>
    <row r="181" spans="1:9">
      <c r="A181" s="47" t="s">
        <v>174</v>
      </c>
      <c r="B181" s="48">
        <v>0.08038560969533</v>
      </c>
      <c r="C181" s="47" t="s">
        <v>170</v>
      </c>
      <c r="D181" s="37">
        <f t="shared" si="8"/>
        <v>0.164839334058899</v>
      </c>
      <c r="E181" s="47" t="s">
        <v>114</v>
      </c>
      <c r="F181" s="48">
        <f t="shared" si="7"/>
        <v>0.164839334058899</v>
      </c>
      <c r="H181" s="47">
        <v>0.487660364283</v>
      </c>
      <c r="I181" s="47" t="s">
        <v>172</v>
      </c>
    </row>
    <row r="182" spans="1:9">
      <c r="A182" s="47" t="s">
        <v>174</v>
      </c>
      <c r="B182" s="48">
        <v>0.0541929532258579</v>
      </c>
      <c r="C182" s="47" t="s">
        <v>170</v>
      </c>
      <c r="D182" s="37">
        <f t="shared" si="8"/>
        <v>0.0111578684042025</v>
      </c>
      <c r="E182" s="47" t="s">
        <v>114</v>
      </c>
      <c r="F182" s="48">
        <f t="shared" si="7"/>
        <v>0.0111578684042025</v>
      </c>
      <c r="H182" s="47">
        <v>4.85692708165</v>
      </c>
      <c r="I182" s="47" t="s">
        <v>172</v>
      </c>
    </row>
    <row r="183" spans="1:9">
      <c r="A183" s="47" t="s">
        <v>174</v>
      </c>
      <c r="B183" s="48">
        <v>0.422985773357952</v>
      </c>
      <c r="C183" s="47" t="s">
        <v>170</v>
      </c>
      <c r="D183" s="37">
        <f t="shared" si="8"/>
        <v>0.0172984507597886</v>
      </c>
      <c r="E183" s="47" t="s">
        <v>114</v>
      </c>
      <c r="F183" s="48">
        <f t="shared" si="7"/>
        <v>0.0172984507597886</v>
      </c>
      <c r="H183" s="47">
        <v>24.452234436</v>
      </c>
      <c r="I183" s="47" t="s">
        <v>172</v>
      </c>
    </row>
    <row r="184" spans="1:9">
      <c r="A184" s="47" t="s">
        <v>174</v>
      </c>
      <c r="B184" s="48">
        <v>0.0721274394148979</v>
      </c>
      <c r="C184" s="47" t="s">
        <v>170</v>
      </c>
      <c r="D184" s="37">
        <f t="shared" si="8"/>
        <v>0.196258419611216</v>
      </c>
      <c r="E184" s="47" t="s">
        <v>114</v>
      </c>
      <c r="F184" s="48">
        <f t="shared" si="7"/>
        <v>0.196258419611216</v>
      </c>
      <c r="H184" s="47">
        <v>0.367512586506</v>
      </c>
      <c r="I184" s="47" t="s">
        <v>172</v>
      </c>
    </row>
    <row r="185" spans="1:9">
      <c r="A185" s="47" t="s">
        <v>174</v>
      </c>
      <c r="B185" s="48">
        <v>0.00556577009479318</v>
      </c>
      <c r="C185" s="47" t="s">
        <v>170</v>
      </c>
      <c r="D185" s="37">
        <f t="shared" si="8"/>
        <v>0.00571653584429778</v>
      </c>
      <c r="E185" s="47" t="s">
        <v>114</v>
      </c>
      <c r="F185" s="48">
        <f t="shared" si="7"/>
        <v>0.00571653584429778</v>
      </c>
      <c r="H185" s="47">
        <v>0.973626379049999</v>
      </c>
      <c r="I185" s="47" t="s">
        <v>172</v>
      </c>
    </row>
    <row r="186" spans="1:9">
      <c r="A186" s="47" t="s">
        <v>174</v>
      </c>
      <c r="B186" s="48">
        <v>0.0269709944489714</v>
      </c>
      <c r="C186" s="47" t="s">
        <v>170</v>
      </c>
      <c r="D186" s="37">
        <f t="shared" si="8"/>
        <v>0.0583044327733694</v>
      </c>
      <c r="E186" s="47" t="s">
        <v>114</v>
      </c>
      <c r="F186" s="48">
        <f t="shared" si="7"/>
        <v>0.0583044327733694</v>
      </c>
      <c r="H186" s="47">
        <v>0.462589089131666</v>
      </c>
      <c r="I186" s="47" t="s">
        <v>172</v>
      </c>
    </row>
    <row r="187" spans="1:9">
      <c r="A187" s="47" t="s">
        <v>174</v>
      </c>
      <c r="B187" s="48">
        <v>0.026175541502878</v>
      </c>
      <c r="C187" s="47" t="s">
        <v>170</v>
      </c>
      <c r="D187" s="37">
        <f t="shared" si="8"/>
        <v>0.0465471403696199</v>
      </c>
      <c r="E187" s="47" t="s">
        <v>114</v>
      </c>
      <c r="F187" s="48">
        <f t="shared" si="7"/>
        <v>0.0465471403696199</v>
      </c>
      <c r="H187" s="47">
        <v>0.562344781978531</v>
      </c>
      <c r="I187" s="47" t="s">
        <v>172</v>
      </c>
    </row>
    <row r="188" spans="1:9">
      <c r="A188" s="47" t="s">
        <v>174</v>
      </c>
      <c r="B188" s="48">
        <v>0.849346268447643</v>
      </c>
      <c r="C188" s="47" t="s">
        <v>170</v>
      </c>
      <c r="D188" s="37">
        <f t="shared" si="8"/>
        <v>0.0560934131605059</v>
      </c>
      <c r="E188" s="47" t="s">
        <v>114</v>
      </c>
      <c r="F188" s="48">
        <f t="shared" si="7"/>
        <v>0.0560934131605059</v>
      </c>
      <c r="H188" s="47">
        <v>15.14164</v>
      </c>
      <c r="I188" s="47" t="s">
        <v>172</v>
      </c>
    </row>
    <row r="189" spans="1:9">
      <c r="A189" s="47" t="s">
        <v>108</v>
      </c>
      <c r="B189" s="48">
        <v>0.91</v>
      </c>
      <c r="C189" s="47" t="s">
        <v>175</v>
      </c>
      <c r="D189" s="37">
        <f>B189/100*2.4/1.4</f>
        <v>0.0156</v>
      </c>
      <c r="E189" s="47" t="s">
        <v>114</v>
      </c>
      <c r="F189" s="48">
        <f t="shared" si="7"/>
        <v>0.0156</v>
      </c>
      <c r="I189" s="47" t="s">
        <v>176</v>
      </c>
    </row>
    <row r="190" spans="1:9">
      <c r="A190" s="47" t="s">
        <v>126</v>
      </c>
      <c r="B190" s="48">
        <v>334.6</v>
      </c>
      <c r="C190" s="47" t="s">
        <v>177</v>
      </c>
      <c r="D190" s="48">
        <f>B190/(215*1000)*2.4</f>
        <v>0.00373506976744186</v>
      </c>
      <c r="E190" s="47" t="s">
        <v>114</v>
      </c>
      <c r="F190" s="48">
        <f t="shared" si="7"/>
        <v>0.00373506976744186</v>
      </c>
      <c r="H190" s="47" t="s">
        <v>178</v>
      </c>
      <c r="I190" s="47" t="s">
        <v>179</v>
      </c>
    </row>
    <row r="191" spans="1:9">
      <c r="A191" s="47" t="s">
        <v>108</v>
      </c>
      <c r="B191" s="48">
        <v>1.06</v>
      </c>
      <c r="C191" s="47" t="s">
        <v>180</v>
      </c>
      <c r="D191" s="37">
        <f>B191/100*0.85*2.4</f>
        <v>0.021624</v>
      </c>
      <c r="E191" s="47" t="s">
        <v>114</v>
      </c>
      <c r="F191" s="48">
        <f t="shared" si="7"/>
        <v>0.021624</v>
      </c>
      <c r="I191" s="47" t="s">
        <v>181</v>
      </c>
    </row>
    <row r="192" spans="1:9">
      <c r="A192" s="47" t="s">
        <v>154</v>
      </c>
      <c r="B192" s="48">
        <f>(31904+80889)/2</f>
        <v>56396.5</v>
      </c>
      <c r="C192" s="47" t="s">
        <v>119</v>
      </c>
      <c r="D192" s="37">
        <f>B192*1000/(175000*83.5*365)</f>
        <v>0.0105738894031897</v>
      </c>
      <c r="E192" s="47" t="s">
        <v>114</v>
      </c>
      <c r="F192" s="48">
        <f t="shared" si="7"/>
        <v>0.0105738894031897</v>
      </c>
      <c r="G192" s="48">
        <f>((1898+3979)/2+(6746+10163)/2+(5421+7861)/2)/((31904+80889)/2)</f>
        <v>0.319771617032972</v>
      </c>
      <c r="H192" s="47" t="s">
        <v>182</v>
      </c>
      <c r="I192" s="47" t="s">
        <v>183</v>
      </c>
    </row>
    <row r="193" spans="1:9">
      <c r="A193" s="47" t="s">
        <v>126</v>
      </c>
      <c r="B193" s="48">
        <f>(76014+241347)/2</f>
        <v>158680.5</v>
      </c>
      <c r="C193" s="47" t="s">
        <v>119</v>
      </c>
      <c r="D193" s="37">
        <f>B193*1000/(100000*294.9*365)</f>
        <v>0.0147419835839407</v>
      </c>
      <c r="E193" s="47" t="s">
        <v>114</v>
      </c>
      <c r="F193" s="48">
        <f t="shared" si="7"/>
        <v>0.0147419835839407</v>
      </c>
      <c r="G193" s="48">
        <f>((901+2091)/2+(2659+5176)/2+(37534+66141)/2)/((76014+241357)/2)</f>
        <v>0.360782806242536</v>
      </c>
      <c r="H193" s="47" t="s">
        <v>182</v>
      </c>
      <c r="I193" s="47" t="s">
        <v>183</v>
      </c>
    </row>
    <row r="194" spans="1:9">
      <c r="A194" s="47" t="s">
        <v>126</v>
      </c>
      <c r="B194" s="48">
        <f>(10004+23764)/2</f>
        <v>16884</v>
      </c>
      <c r="C194" s="47" t="s">
        <v>119</v>
      </c>
      <c r="D194" s="37">
        <f>B194*1000/(50000*702.3*365)</f>
        <v>0.00131731551321587</v>
      </c>
      <c r="E194" s="47" t="s">
        <v>114</v>
      </c>
      <c r="F194" s="48">
        <f t="shared" si="7"/>
        <v>0.00131731551321587</v>
      </c>
      <c r="G194" s="48">
        <f>((650+1511)/2+(215+326)/2+(2790+4366)/2)/((10004+23764)/2)</f>
        <v>0.291933191186923</v>
      </c>
      <c r="H194" s="47" t="s">
        <v>182</v>
      </c>
      <c r="I194" s="47" t="s">
        <v>183</v>
      </c>
    </row>
    <row r="195" spans="1:9">
      <c r="A195" s="47" t="s">
        <v>184</v>
      </c>
      <c r="B195" s="48">
        <v>0.46</v>
      </c>
      <c r="C195" s="47" t="s">
        <v>109</v>
      </c>
      <c r="D195" s="37">
        <f t="shared" ref="D195:D201" si="9">B195/100*2.4</f>
        <v>0.01104</v>
      </c>
      <c r="E195" s="47" t="s">
        <v>110</v>
      </c>
      <c r="F195" s="48">
        <f t="shared" ref="F195:F202" si="10">D195/0.417</f>
        <v>0.0264748201438849</v>
      </c>
      <c r="I195" s="47" t="s">
        <v>185</v>
      </c>
    </row>
    <row r="196" spans="1:9">
      <c r="A196" s="47" t="s">
        <v>184</v>
      </c>
      <c r="B196" s="48">
        <v>0.38</v>
      </c>
      <c r="C196" s="47" t="s">
        <v>109</v>
      </c>
      <c r="D196" s="37">
        <f t="shared" si="9"/>
        <v>0.00912</v>
      </c>
      <c r="E196" s="47" t="s">
        <v>110</v>
      </c>
      <c r="F196" s="48">
        <f t="shared" si="10"/>
        <v>0.0218705035971223</v>
      </c>
      <c r="I196" s="47" t="s">
        <v>185</v>
      </c>
    </row>
    <row r="197" spans="1:9">
      <c r="A197" s="47" t="s">
        <v>184</v>
      </c>
      <c r="B197" s="48">
        <v>0.28</v>
      </c>
      <c r="C197" s="47" t="s">
        <v>109</v>
      </c>
      <c r="D197" s="37">
        <f t="shared" si="9"/>
        <v>0.00672</v>
      </c>
      <c r="E197" s="47" t="s">
        <v>110</v>
      </c>
      <c r="F197" s="48">
        <f t="shared" si="10"/>
        <v>0.0161151079136691</v>
      </c>
      <c r="I197" s="47" t="s">
        <v>185</v>
      </c>
    </row>
    <row r="198" spans="1:9">
      <c r="A198" s="47" t="s">
        <v>184</v>
      </c>
      <c r="B198" s="48">
        <v>0.36</v>
      </c>
      <c r="C198" s="47" t="s">
        <v>109</v>
      </c>
      <c r="D198" s="37">
        <f t="shared" si="9"/>
        <v>0.00864</v>
      </c>
      <c r="E198" s="47" t="s">
        <v>110</v>
      </c>
      <c r="F198" s="48">
        <f t="shared" si="10"/>
        <v>0.0207194244604317</v>
      </c>
      <c r="I198" s="47" t="s">
        <v>185</v>
      </c>
    </row>
    <row r="199" spans="1:9">
      <c r="A199" s="47" t="s">
        <v>184</v>
      </c>
      <c r="B199" s="48">
        <v>0.43</v>
      </c>
      <c r="C199" s="47" t="s">
        <v>109</v>
      </c>
      <c r="D199" s="37">
        <f t="shared" si="9"/>
        <v>0.01032</v>
      </c>
      <c r="E199" s="47" t="s">
        <v>110</v>
      </c>
      <c r="F199" s="48">
        <f t="shared" si="10"/>
        <v>0.0247482014388489</v>
      </c>
      <c r="I199" s="47" t="s">
        <v>185</v>
      </c>
    </row>
    <row r="200" spans="1:9">
      <c r="A200" s="47" t="s">
        <v>184</v>
      </c>
      <c r="B200" s="48">
        <v>0.46</v>
      </c>
      <c r="C200" s="47" t="s">
        <v>109</v>
      </c>
      <c r="D200" s="37">
        <f t="shared" si="9"/>
        <v>0.01104</v>
      </c>
      <c r="E200" s="47" t="s">
        <v>110</v>
      </c>
      <c r="F200" s="48">
        <f t="shared" si="10"/>
        <v>0.0264748201438849</v>
      </c>
      <c r="I200" s="47" t="s">
        <v>185</v>
      </c>
    </row>
    <row r="201" spans="1:9">
      <c r="A201" s="47" t="s">
        <v>184</v>
      </c>
      <c r="B201" s="48">
        <v>0.49</v>
      </c>
      <c r="C201" s="47" t="s">
        <v>109</v>
      </c>
      <c r="D201" s="37">
        <f t="shared" si="9"/>
        <v>0.01176</v>
      </c>
      <c r="E201" s="47" t="s">
        <v>110</v>
      </c>
      <c r="F201" s="48">
        <f t="shared" si="10"/>
        <v>0.0282014388489209</v>
      </c>
      <c r="I201" s="47" t="s">
        <v>185</v>
      </c>
    </row>
    <row r="202" spans="1:9">
      <c r="A202" s="47" t="s">
        <v>108</v>
      </c>
      <c r="B202" s="48">
        <v>0.016</v>
      </c>
      <c r="C202" s="47" t="s">
        <v>186</v>
      </c>
      <c r="D202" s="37">
        <f>B202*16/12*2.4/100</f>
        <v>0.000512</v>
      </c>
      <c r="E202" s="47" t="s">
        <v>110</v>
      </c>
      <c r="F202" s="48">
        <f t="shared" si="10"/>
        <v>0.00122781774580336</v>
      </c>
      <c r="I202" s="47" t="s">
        <v>187</v>
      </c>
    </row>
    <row r="203" spans="1:9">
      <c r="A203" s="47" t="s">
        <v>136</v>
      </c>
      <c r="B203" s="48">
        <v>0.6</v>
      </c>
      <c r="C203" s="47" t="s">
        <v>109</v>
      </c>
      <c r="D203" s="37">
        <f>B203/100*2.4</f>
        <v>0.0144</v>
      </c>
      <c r="E203" s="47" t="s">
        <v>114</v>
      </c>
      <c r="F203" s="48">
        <f>D203</f>
        <v>0.0144</v>
      </c>
      <c r="I203" s="47" t="s">
        <v>188</v>
      </c>
    </row>
    <row r="204" spans="1:9">
      <c r="A204" s="47" t="s">
        <v>136</v>
      </c>
      <c r="B204" s="48">
        <v>0.7</v>
      </c>
      <c r="C204" s="47" t="s">
        <v>109</v>
      </c>
      <c r="D204" s="37">
        <f>B204/100*2.4</f>
        <v>0.0168</v>
      </c>
      <c r="E204" s="47" t="s">
        <v>114</v>
      </c>
      <c r="F204" s="48">
        <f>D204</f>
        <v>0.0168</v>
      </c>
      <c r="I204" s="47" t="s">
        <v>188</v>
      </c>
    </row>
    <row r="205" spans="1:9">
      <c r="A205" s="47" t="s">
        <v>184</v>
      </c>
      <c r="B205" s="48">
        <f>0.11+0.2+0.86</f>
        <v>1.17</v>
      </c>
      <c r="C205" s="47" t="s">
        <v>151</v>
      </c>
      <c r="D205" s="48">
        <f>B205*1000/(64100*201)</f>
        <v>9.08096025333551e-5</v>
      </c>
      <c r="E205" s="47" t="s">
        <v>114</v>
      </c>
      <c r="F205" s="48">
        <f>D205</f>
        <v>9.08096025333551e-5</v>
      </c>
      <c r="H205" s="47" t="s">
        <v>189</v>
      </c>
      <c r="I205" s="47" t="s">
        <v>190</v>
      </c>
    </row>
    <row r="206" spans="1:9">
      <c r="A206" s="47" t="s">
        <v>139</v>
      </c>
      <c r="B206" s="48">
        <v>0.053</v>
      </c>
      <c r="C206" s="47" t="s">
        <v>191</v>
      </c>
      <c r="D206" s="48">
        <f>B206*2.4/100</f>
        <v>0.001272</v>
      </c>
      <c r="E206" s="47" t="s">
        <v>110</v>
      </c>
      <c r="F206" s="48">
        <f>D206/0.417</f>
        <v>0.00305035971223022</v>
      </c>
      <c r="H206" s="11" t="s">
        <v>192</v>
      </c>
      <c r="I206" s="47" t="s">
        <v>193</v>
      </c>
    </row>
    <row r="207" spans="1:9">
      <c r="A207" s="47" t="s">
        <v>108</v>
      </c>
      <c r="B207" s="48">
        <v>0.007</v>
      </c>
      <c r="C207" s="47" t="s">
        <v>191</v>
      </c>
      <c r="D207" s="48">
        <f>B207*2.4/100</f>
        <v>0.000168</v>
      </c>
      <c r="E207" s="47" t="s">
        <v>110</v>
      </c>
      <c r="F207" s="48">
        <f>D207/0.417</f>
        <v>0.000402877697841727</v>
      </c>
      <c r="H207" s="11" t="s">
        <v>192</v>
      </c>
      <c r="I207" s="47" t="s">
        <v>193</v>
      </c>
    </row>
    <row r="208" spans="1:9">
      <c r="A208" s="47" t="s">
        <v>108</v>
      </c>
      <c r="B208" s="48">
        <v>0.012</v>
      </c>
      <c r="C208" s="47" t="s">
        <v>191</v>
      </c>
      <c r="D208" s="48">
        <f>B208*2.4/100</f>
        <v>0.000288</v>
      </c>
      <c r="E208" s="47" t="s">
        <v>110</v>
      </c>
      <c r="F208" s="48">
        <f>D208/0.417</f>
        <v>0.000690647482014389</v>
      </c>
      <c r="H208" s="11" t="s">
        <v>192</v>
      </c>
      <c r="I208" s="47" t="s">
        <v>193</v>
      </c>
    </row>
    <row r="209" spans="1:9">
      <c r="A209" s="47" t="s">
        <v>108</v>
      </c>
      <c r="B209" s="48">
        <v>0.028</v>
      </c>
      <c r="C209" s="47" t="s">
        <v>191</v>
      </c>
      <c r="D209" s="48">
        <f>B209*2.4/100</f>
        <v>0.000672</v>
      </c>
      <c r="E209" s="47" t="s">
        <v>110</v>
      </c>
      <c r="F209" s="48">
        <f>D209/0.417</f>
        <v>0.00161151079136691</v>
      </c>
      <c r="H209" s="11" t="s">
        <v>192</v>
      </c>
      <c r="I209" s="47" t="s">
        <v>193</v>
      </c>
    </row>
    <row r="210" spans="1:9">
      <c r="A210" s="47" t="s">
        <v>160</v>
      </c>
      <c r="B210" s="48">
        <v>19</v>
      </c>
      <c r="C210" s="47" t="s">
        <v>186</v>
      </c>
      <c r="D210" s="37">
        <f t="shared" ref="D210:D216" si="11">B210/100*16/12*2.4</f>
        <v>0.608</v>
      </c>
      <c r="E210" s="47" t="s">
        <v>114</v>
      </c>
      <c r="F210" s="48">
        <f t="shared" ref="F210:F273" si="12">D210</f>
        <v>0.608</v>
      </c>
      <c r="I210" s="47" t="s">
        <v>194</v>
      </c>
    </row>
    <row r="211" spans="1:9">
      <c r="A211" s="47" t="s">
        <v>160</v>
      </c>
      <c r="B211" s="48">
        <v>26</v>
      </c>
      <c r="C211" s="47" t="s">
        <v>186</v>
      </c>
      <c r="D211" s="37">
        <f t="shared" si="11"/>
        <v>0.832</v>
      </c>
      <c r="E211" s="47" t="s">
        <v>114</v>
      </c>
      <c r="F211" s="48">
        <f t="shared" si="12"/>
        <v>0.832</v>
      </c>
      <c r="I211" s="47" t="s">
        <v>194</v>
      </c>
    </row>
    <row r="212" spans="1:9">
      <c r="A212" s="47" t="s">
        <v>160</v>
      </c>
      <c r="B212" s="48">
        <v>11</v>
      </c>
      <c r="C212" s="47" t="s">
        <v>186</v>
      </c>
      <c r="D212" s="37">
        <f t="shared" si="11"/>
        <v>0.352</v>
      </c>
      <c r="E212" s="47" t="s">
        <v>114</v>
      </c>
      <c r="F212" s="48">
        <f t="shared" si="12"/>
        <v>0.352</v>
      </c>
      <c r="I212" s="47" t="s">
        <v>194</v>
      </c>
    </row>
    <row r="213" spans="1:9">
      <c r="A213" s="47" t="s">
        <v>160</v>
      </c>
      <c r="B213" s="48">
        <v>24</v>
      </c>
      <c r="C213" s="47" t="s">
        <v>186</v>
      </c>
      <c r="D213" s="37">
        <f t="shared" si="11"/>
        <v>0.768</v>
      </c>
      <c r="E213" s="47" t="s">
        <v>114</v>
      </c>
      <c r="F213" s="48">
        <f t="shared" si="12"/>
        <v>0.768</v>
      </c>
      <c r="I213" s="47" t="s">
        <v>194</v>
      </c>
    </row>
    <row r="214" spans="1:9">
      <c r="A214" s="47" t="s">
        <v>160</v>
      </c>
      <c r="B214" s="48">
        <v>0.39</v>
      </c>
      <c r="C214" s="47" t="s">
        <v>186</v>
      </c>
      <c r="D214" s="37">
        <f t="shared" si="11"/>
        <v>0.01248</v>
      </c>
      <c r="E214" s="47" t="s">
        <v>114</v>
      </c>
      <c r="F214" s="48">
        <f t="shared" si="12"/>
        <v>0.01248</v>
      </c>
      <c r="I214" s="47" t="s">
        <v>194</v>
      </c>
    </row>
    <row r="215" spans="1:9">
      <c r="A215" s="47" t="s">
        <v>160</v>
      </c>
      <c r="B215" s="48">
        <v>9.5</v>
      </c>
      <c r="C215" s="47" t="s">
        <v>186</v>
      </c>
      <c r="D215" s="37">
        <f t="shared" si="11"/>
        <v>0.304</v>
      </c>
      <c r="E215" s="47" t="s">
        <v>114</v>
      </c>
      <c r="F215" s="48">
        <f t="shared" si="12"/>
        <v>0.304</v>
      </c>
      <c r="I215" s="47" t="s">
        <v>194</v>
      </c>
    </row>
    <row r="216" spans="1:9">
      <c r="A216" s="47" t="s">
        <v>160</v>
      </c>
      <c r="B216" s="48">
        <v>4.8</v>
      </c>
      <c r="C216" s="47" t="s">
        <v>186</v>
      </c>
      <c r="D216" s="37">
        <f t="shared" si="11"/>
        <v>0.1536</v>
      </c>
      <c r="E216" s="47" t="s">
        <v>114</v>
      </c>
      <c r="F216" s="48">
        <f t="shared" si="12"/>
        <v>0.1536</v>
      </c>
      <c r="I216" s="47" t="s">
        <v>194</v>
      </c>
    </row>
    <row r="217" spans="1:9">
      <c r="A217" s="47" t="s">
        <v>154</v>
      </c>
      <c r="B217" s="48">
        <v>0.00323415197192364</v>
      </c>
      <c r="C217" s="47" t="s">
        <v>127</v>
      </c>
      <c r="D217" s="37">
        <f t="shared" ref="D217:D280" si="13">B217*0.9*2.4</f>
        <v>0.00698576825935506</v>
      </c>
      <c r="E217" s="47" t="s">
        <v>114</v>
      </c>
      <c r="F217" s="48">
        <f t="shared" si="12"/>
        <v>0.00698576825935506</v>
      </c>
      <c r="I217" s="47" t="s">
        <v>195</v>
      </c>
    </row>
    <row r="218" spans="1:9">
      <c r="A218" s="47" t="s">
        <v>154</v>
      </c>
      <c r="B218" s="48">
        <v>0.020538021460148</v>
      </c>
      <c r="C218" s="47" t="s">
        <v>127</v>
      </c>
      <c r="D218" s="37">
        <f t="shared" si="13"/>
        <v>0.0443621263539197</v>
      </c>
      <c r="E218" s="47" t="s">
        <v>114</v>
      </c>
      <c r="F218" s="48">
        <f t="shared" si="12"/>
        <v>0.0443621263539197</v>
      </c>
      <c r="I218" s="47" t="s">
        <v>195</v>
      </c>
    </row>
    <row r="219" spans="1:9">
      <c r="A219" s="47" t="s">
        <v>154</v>
      </c>
      <c r="B219" s="48">
        <v>0.0384624022080075</v>
      </c>
      <c r="C219" s="47" t="s">
        <v>127</v>
      </c>
      <c r="D219" s="37">
        <f t="shared" si="13"/>
        <v>0.0830787887692962</v>
      </c>
      <c r="E219" s="47" t="s">
        <v>114</v>
      </c>
      <c r="F219" s="48">
        <f t="shared" si="12"/>
        <v>0.0830787887692962</v>
      </c>
      <c r="I219" s="47" t="s">
        <v>195</v>
      </c>
    </row>
    <row r="220" spans="1:9">
      <c r="A220" s="47" t="s">
        <v>136</v>
      </c>
      <c r="B220" s="48">
        <v>0.00137187923903668</v>
      </c>
      <c r="C220" s="47" t="s">
        <v>127</v>
      </c>
      <c r="D220" s="37">
        <f t="shared" si="13"/>
        <v>0.00296325915631923</v>
      </c>
      <c r="E220" s="47" t="s">
        <v>114</v>
      </c>
      <c r="F220" s="48">
        <f t="shared" si="12"/>
        <v>0.00296325915631923</v>
      </c>
      <c r="I220" s="47" t="s">
        <v>195</v>
      </c>
    </row>
    <row r="221" spans="1:9">
      <c r="A221" s="47" t="s">
        <v>136</v>
      </c>
      <c r="B221" s="48">
        <v>0.00634617446212519</v>
      </c>
      <c r="C221" s="47" t="s">
        <v>127</v>
      </c>
      <c r="D221" s="37">
        <f t="shared" si="13"/>
        <v>0.0137077368381904</v>
      </c>
      <c r="E221" s="47" t="s">
        <v>114</v>
      </c>
      <c r="F221" s="48">
        <f t="shared" si="12"/>
        <v>0.0137077368381904</v>
      </c>
      <c r="I221" s="47" t="s">
        <v>195</v>
      </c>
    </row>
    <row r="222" spans="1:9">
      <c r="A222" s="47" t="s">
        <v>136</v>
      </c>
      <c r="B222" s="48">
        <v>0.00490904070145344</v>
      </c>
      <c r="C222" s="47" t="s">
        <v>127</v>
      </c>
      <c r="D222" s="37">
        <f t="shared" si="13"/>
        <v>0.0106035279151394</v>
      </c>
      <c r="E222" s="47" t="s">
        <v>114</v>
      </c>
      <c r="F222" s="48">
        <f t="shared" si="12"/>
        <v>0.0106035279151394</v>
      </c>
      <c r="I222" s="47" t="s">
        <v>195</v>
      </c>
    </row>
    <row r="223" spans="1:9">
      <c r="A223" s="47" t="s">
        <v>117</v>
      </c>
      <c r="B223" s="48">
        <v>0.0142086574915079</v>
      </c>
      <c r="C223" s="47" t="s">
        <v>127</v>
      </c>
      <c r="D223" s="37">
        <f t="shared" si="13"/>
        <v>0.0306907001816571</v>
      </c>
      <c r="E223" s="47" t="s">
        <v>114</v>
      </c>
      <c r="F223" s="48">
        <f t="shared" si="12"/>
        <v>0.0306907001816571</v>
      </c>
      <c r="I223" s="47" t="s">
        <v>195</v>
      </c>
    </row>
    <row r="224" spans="1:9">
      <c r="A224" s="47" t="s">
        <v>154</v>
      </c>
      <c r="B224" s="48">
        <v>0.0177074275842745</v>
      </c>
      <c r="C224" s="47" t="s">
        <v>127</v>
      </c>
      <c r="D224" s="37">
        <f t="shared" si="13"/>
        <v>0.0382480435820329</v>
      </c>
      <c r="E224" s="47" t="s">
        <v>114</v>
      </c>
      <c r="F224" s="48">
        <f t="shared" si="12"/>
        <v>0.0382480435820329</v>
      </c>
      <c r="I224" s="47" t="s">
        <v>195</v>
      </c>
    </row>
    <row r="225" spans="1:9">
      <c r="A225" s="47" t="s">
        <v>117</v>
      </c>
      <c r="B225" s="48">
        <v>0.090314133087434</v>
      </c>
      <c r="C225" s="47" t="s">
        <v>127</v>
      </c>
      <c r="D225" s="37">
        <f t="shared" si="13"/>
        <v>0.195078527468857</v>
      </c>
      <c r="E225" s="47" t="s">
        <v>114</v>
      </c>
      <c r="F225" s="48">
        <f t="shared" si="12"/>
        <v>0.195078527468857</v>
      </c>
      <c r="I225" s="47" t="s">
        <v>195</v>
      </c>
    </row>
    <row r="226" spans="1:9">
      <c r="A226" s="47" t="s">
        <v>136</v>
      </c>
      <c r="B226" s="48">
        <v>0.0320172059822372</v>
      </c>
      <c r="C226" s="47" t="s">
        <v>127</v>
      </c>
      <c r="D226" s="37">
        <f t="shared" si="13"/>
        <v>0.0691571649216324</v>
      </c>
      <c r="E226" s="47" t="s">
        <v>114</v>
      </c>
      <c r="F226" s="48">
        <f t="shared" si="12"/>
        <v>0.0691571649216324</v>
      </c>
      <c r="I226" s="47" t="s">
        <v>195</v>
      </c>
    </row>
    <row r="227" spans="1:9">
      <c r="A227" s="47" t="s">
        <v>136</v>
      </c>
      <c r="B227" s="48">
        <v>0.00302489576969883</v>
      </c>
      <c r="C227" s="47" t="s">
        <v>127</v>
      </c>
      <c r="D227" s="37">
        <f t="shared" si="13"/>
        <v>0.00653377486254947</v>
      </c>
      <c r="E227" s="47" t="s">
        <v>114</v>
      </c>
      <c r="F227" s="48">
        <f t="shared" si="12"/>
        <v>0.00653377486254947</v>
      </c>
      <c r="I227" s="47" t="s">
        <v>195</v>
      </c>
    </row>
    <row r="228" spans="1:9">
      <c r="A228" s="47" t="s">
        <v>117</v>
      </c>
      <c r="B228" s="48">
        <v>0.00772701629548309</v>
      </c>
      <c r="C228" s="47" t="s">
        <v>127</v>
      </c>
      <c r="D228" s="37">
        <f t="shared" si="13"/>
        <v>0.0166903551982435</v>
      </c>
      <c r="E228" s="47" t="s">
        <v>114</v>
      </c>
      <c r="F228" s="48">
        <f t="shared" si="12"/>
        <v>0.0166903551982435</v>
      </c>
      <c r="I228" s="47" t="s">
        <v>195</v>
      </c>
    </row>
    <row r="229" spans="1:9">
      <c r="A229" s="47" t="s">
        <v>117</v>
      </c>
      <c r="B229" s="48">
        <v>0.0265986014903911</v>
      </c>
      <c r="C229" s="47" t="s">
        <v>127</v>
      </c>
      <c r="D229" s="37">
        <f t="shared" si="13"/>
        <v>0.0574529792192448</v>
      </c>
      <c r="E229" s="47" t="s">
        <v>114</v>
      </c>
      <c r="F229" s="48">
        <f t="shared" si="12"/>
        <v>0.0574529792192448</v>
      </c>
      <c r="I229" s="47" t="s">
        <v>195</v>
      </c>
    </row>
    <row r="230" spans="1:9">
      <c r="A230" s="47" t="s">
        <v>136</v>
      </c>
      <c r="B230" s="48">
        <v>0.0308236429328719</v>
      </c>
      <c r="C230" s="47" t="s">
        <v>127</v>
      </c>
      <c r="D230" s="37">
        <f t="shared" si="13"/>
        <v>0.0665790687350033</v>
      </c>
      <c r="E230" s="47" t="s">
        <v>114</v>
      </c>
      <c r="F230" s="48">
        <f t="shared" si="12"/>
        <v>0.0665790687350033</v>
      </c>
      <c r="I230" s="47" t="s">
        <v>195</v>
      </c>
    </row>
    <row r="231" spans="1:9">
      <c r="A231" s="47" t="s">
        <v>154</v>
      </c>
      <c r="B231" s="48">
        <v>0.00970133599156078</v>
      </c>
      <c r="C231" s="47" t="s">
        <v>127</v>
      </c>
      <c r="D231" s="37">
        <f t="shared" si="13"/>
        <v>0.0209548857417713</v>
      </c>
      <c r="E231" s="47" t="s">
        <v>114</v>
      </c>
      <c r="F231" s="48">
        <f t="shared" si="12"/>
        <v>0.0209548857417713</v>
      </c>
      <c r="I231" s="47" t="s">
        <v>195</v>
      </c>
    </row>
    <row r="232" spans="1:9">
      <c r="A232" s="47" t="s">
        <v>154</v>
      </c>
      <c r="B232" s="48">
        <v>0.0642212622661344</v>
      </c>
      <c r="C232" s="47" t="s">
        <v>127</v>
      </c>
      <c r="D232" s="37">
        <f t="shared" si="13"/>
        <v>0.13871792649485</v>
      </c>
      <c r="E232" s="47" t="s">
        <v>114</v>
      </c>
      <c r="F232" s="48">
        <f t="shared" si="12"/>
        <v>0.13871792649485</v>
      </c>
      <c r="I232" s="47" t="s">
        <v>195</v>
      </c>
    </row>
    <row r="233" spans="1:9">
      <c r="A233" s="47" t="s">
        <v>117</v>
      </c>
      <c r="B233" s="48">
        <v>0.0178090058724283</v>
      </c>
      <c r="C233" s="47" t="s">
        <v>127</v>
      </c>
      <c r="D233" s="37">
        <f t="shared" si="13"/>
        <v>0.0384674526844451</v>
      </c>
      <c r="E233" s="47" t="s">
        <v>114</v>
      </c>
      <c r="F233" s="48">
        <f t="shared" si="12"/>
        <v>0.0384674526844451</v>
      </c>
      <c r="I233" s="47" t="s">
        <v>195</v>
      </c>
    </row>
    <row r="234" spans="1:9">
      <c r="A234" s="47" t="s">
        <v>117</v>
      </c>
      <c r="B234" s="48">
        <v>0.0130184075713047</v>
      </c>
      <c r="C234" s="47" t="s">
        <v>127</v>
      </c>
      <c r="D234" s="37">
        <f t="shared" si="13"/>
        <v>0.0281197603540182</v>
      </c>
      <c r="E234" s="47" t="s">
        <v>114</v>
      </c>
      <c r="F234" s="48">
        <f t="shared" si="12"/>
        <v>0.0281197603540182</v>
      </c>
      <c r="I234" s="47" t="s">
        <v>195</v>
      </c>
    </row>
    <row r="235" spans="1:9">
      <c r="A235" s="47" t="s">
        <v>154</v>
      </c>
      <c r="B235" s="48">
        <v>0.0350649432187341</v>
      </c>
      <c r="C235" s="47" t="s">
        <v>127</v>
      </c>
      <c r="D235" s="37">
        <f t="shared" si="13"/>
        <v>0.0757402773524657</v>
      </c>
      <c r="E235" s="47" t="s">
        <v>114</v>
      </c>
      <c r="F235" s="48">
        <f t="shared" si="12"/>
        <v>0.0757402773524657</v>
      </c>
      <c r="I235" s="47" t="s">
        <v>195</v>
      </c>
    </row>
    <row r="236" spans="1:9">
      <c r="A236" s="47" t="s">
        <v>117</v>
      </c>
      <c r="B236" s="48">
        <v>0.00703762943011273</v>
      </c>
      <c r="C236" s="47" t="s">
        <v>127</v>
      </c>
      <c r="D236" s="37">
        <f t="shared" si="13"/>
        <v>0.0152012795690435</v>
      </c>
      <c r="E236" s="47" t="s">
        <v>114</v>
      </c>
      <c r="F236" s="48">
        <f t="shared" si="12"/>
        <v>0.0152012795690435</v>
      </c>
      <c r="I236" s="47" t="s">
        <v>195</v>
      </c>
    </row>
    <row r="237" spans="1:9">
      <c r="A237" s="47" t="s">
        <v>154</v>
      </c>
      <c r="B237" s="48">
        <v>0.0352777354672523</v>
      </c>
      <c r="C237" s="47" t="s">
        <v>127</v>
      </c>
      <c r="D237" s="37">
        <f t="shared" si="13"/>
        <v>0.076199908609265</v>
      </c>
      <c r="E237" s="47" t="s">
        <v>114</v>
      </c>
      <c r="F237" s="48">
        <f t="shared" si="12"/>
        <v>0.076199908609265</v>
      </c>
      <c r="I237" s="47" t="s">
        <v>195</v>
      </c>
    </row>
    <row r="238" spans="1:9">
      <c r="A238" s="47" t="s">
        <v>154</v>
      </c>
      <c r="B238" s="48">
        <v>0.0216025797453089</v>
      </c>
      <c r="C238" s="47" t="s">
        <v>127</v>
      </c>
      <c r="D238" s="37">
        <f t="shared" si="13"/>
        <v>0.0466615722498672</v>
      </c>
      <c r="E238" s="47" t="s">
        <v>114</v>
      </c>
      <c r="F238" s="48">
        <f t="shared" si="12"/>
        <v>0.0466615722498672</v>
      </c>
      <c r="I238" s="47" t="s">
        <v>195</v>
      </c>
    </row>
    <row r="239" spans="1:9">
      <c r="A239" s="47" t="s">
        <v>154</v>
      </c>
      <c r="B239" s="48">
        <v>0.0198429785</v>
      </c>
      <c r="C239" s="47" t="s">
        <v>127</v>
      </c>
      <c r="D239" s="37">
        <f t="shared" si="13"/>
        <v>0.04286083356</v>
      </c>
      <c r="E239" s="47" t="s">
        <v>114</v>
      </c>
      <c r="F239" s="48">
        <f t="shared" si="12"/>
        <v>0.04286083356</v>
      </c>
      <c r="I239" s="47" t="s">
        <v>195</v>
      </c>
    </row>
    <row r="240" spans="1:9">
      <c r="A240" s="47" t="s">
        <v>154</v>
      </c>
      <c r="B240" s="48">
        <v>0.0245908466362326</v>
      </c>
      <c r="C240" s="47" t="s">
        <v>127</v>
      </c>
      <c r="D240" s="37">
        <f t="shared" si="13"/>
        <v>0.0531162287342624</v>
      </c>
      <c r="E240" s="47" t="s">
        <v>114</v>
      </c>
      <c r="F240" s="48">
        <f t="shared" si="12"/>
        <v>0.0531162287342624</v>
      </c>
      <c r="I240" s="47" t="s">
        <v>195</v>
      </c>
    </row>
    <row r="241" spans="1:9">
      <c r="A241" s="47" t="s">
        <v>117</v>
      </c>
      <c r="B241" s="48">
        <v>0.024863354</v>
      </c>
      <c r="C241" s="47" t="s">
        <v>127</v>
      </c>
      <c r="D241" s="37">
        <f t="shared" si="13"/>
        <v>0.05370484464</v>
      </c>
      <c r="E241" s="47" t="s">
        <v>114</v>
      </c>
      <c r="F241" s="48">
        <f t="shared" si="12"/>
        <v>0.05370484464</v>
      </c>
      <c r="I241" s="47" t="s">
        <v>195</v>
      </c>
    </row>
    <row r="242" spans="1:9">
      <c r="A242" s="47" t="s">
        <v>117</v>
      </c>
      <c r="B242" s="48">
        <v>0.00854361096871587</v>
      </c>
      <c r="C242" s="47" t="s">
        <v>127</v>
      </c>
      <c r="D242" s="37">
        <f t="shared" si="13"/>
        <v>0.0184541996924263</v>
      </c>
      <c r="E242" s="47" t="s">
        <v>114</v>
      </c>
      <c r="F242" s="48">
        <f t="shared" si="12"/>
        <v>0.0184541996924263</v>
      </c>
      <c r="I242" s="47" t="s">
        <v>195</v>
      </c>
    </row>
    <row r="243" spans="1:9">
      <c r="A243" s="47" t="s">
        <v>117</v>
      </c>
      <c r="B243" s="48">
        <v>0.0399956673344848</v>
      </c>
      <c r="C243" s="47" t="s">
        <v>127</v>
      </c>
      <c r="D243" s="37">
        <f t="shared" si="13"/>
        <v>0.0863906414424872</v>
      </c>
      <c r="E243" s="47" t="s">
        <v>114</v>
      </c>
      <c r="F243" s="48">
        <f t="shared" si="12"/>
        <v>0.0863906414424872</v>
      </c>
      <c r="I243" s="47" t="s">
        <v>195</v>
      </c>
    </row>
    <row r="244" spans="1:9">
      <c r="A244" s="47" t="s">
        <v>154</v>
      </c>
      <c r="B244" s="48">
        <v>0.0255134455260638</v>
      </c>
      <c r="C244" s="47" t="s">
        <v>127</v>
      </c>
      <c r="D244" s="37">
        <f t="shared" si="13"/>
        <v>0.0551090423362978</v>
      </c>
      <c r="E244" s="47" t="s">
        <v>114</v>
      </c>
      <c r="F244" s="48">
        <f t="shared" si="12"/>
        <v>0.0551090423362978</v>
      </c>
      <c r="I244" s="47" t="s">
        <v>195</v>
      </c>
    </row>
    <row r="245" spans="1:9">
      <c r="A245" s="47" t="s">
        <v>139</v>
      </c>
      <c r="B245" s="48">
        <v>0.0565426804825117</v>
      </c>
      <c r="C245" s="47" t="s">
        <v>127</v>
      </c>
      <c r="D245" s="37">
        <f t="shared" si="13"/>
        <v>0.122132189842225</v>
      </c>
      <c r="E245" s="47" t="s">
        <v>114</v>
      </c>
      <c r="F245" s="48">
        <f t="shared" si="12"/>
        <v>0.122132189842225</v>
      </c>
      <c r="I245" s="47" t="s">
        <v>195</v>
      </c>
    </row>
    <row r="246" spans="1:9">
      <c r="A246" s="47" t="s">
        <v>139</v>
      </c>
      <c r="B246" s="48">
        <v>0.0421372476621758</v>
      </c>
      <c r="C246" s="47" t="s">
        <v>127</v>
      </c>
      <c r="D246" s="37">
        <f t="shared" si="13"/>
        <v>0.0910164549502997</v>
      </c>
      <c r="E246" s="47" t="s">
        <v>114</v>
      </c>
      <c r="F246" s="48">
        <f t="shared" si="12"/>
        <v>0.0910164549502997</v>
      </c>
      <c r="I246" s="47" t="s">
        <v>195</v>
      </c>
    </row>
    <row r="247" spans="1:9">
      <c r="A247" s="47" t="s">
        <v>139</v>
      </c>
      <c r="B247" s="48">
        <v>0.0176562635410147</v>
      </c>
      <c r="C247" s="47" t="s">
        <v>127</v>
      </c>
      <c r="D247" s="37">
        <f t="shared" si="13"/>
        <v>0.0381375292485918</v>
      </c>
      <c r="E247" s="47" t="s">
        <v>114</v>
      </c>
      <c r="F247" s="48">
        <f t="shared" si="12"/>
        <v>0.0381375292485918</v>
      </c>
      <c r="I247" s="47" t="s">
        <v>195</v>
      </c>
    </row>
    <row r="248" spans="1:9">
      <c r="A248" s="47" t="s">
        <v>139</v>
      </c>
      <c r="B248" s="48">
        <v>0.000688933650068091</v>
      </c>
      <c r="C248" s="47" t="s">
        <v>127</v>
      </c>
      <c r="D248" s="37">
        <f t="shared" si="13"/>
        <v>0.00148809668414708</v>
      </c>
      <c r="E248" s="47" t="s">
        <v>114</v>
      </c>
      <c r="F248" s="48">
        <f t="shared" si="12"/>
        <v>0.00148809668414708</v>
      </c>
      <c r="I248" s="47" t="s">
        <v>195</v>
      </c>
    </row>
    <row r="249" spans="1:9">
      <c r="A249" s="47" t="s">
        <v>139</v>
      </c>
      <c r="B249" s="48">
        <v>0.00538234655705589</v>
      </c>
      <c r="C249" s="47" t="s">
        <v>127</v>
      </c>
      <c r="D249" s="37">
        <f t="shared" si="13"/>
        <v>0.0116258685632407</v>
      </c>
      <c r="E249" s="47" t="s">
        <v>114</v>
      </c>
      <c r="F249" s="48">
        <f t="shared" si="12"/>
        <v>0.0116258685632407</v>
      </c>
      <c r="I249" s="47" t="s">
        <v>195</v>
      </c>
    </row>
    <row r="250" spans="1:9">
      <c r="A250" s="47" t="s">
        <v>139</v>
      </c>
      <c r="B250" s="48">
        <v>0.00498095283924494</v>
      </c>
      <c r="C250" s="47" t="s">
        <v>127</v>
      </c>
      <c r="D250" s="37">
        <f t="shared" si="13"/>
        <v>0.0107588581327691</v>
      </c>
      <c r="E250" s="47" t="s">
        <v>114</v>
      </c>
      <c r="F250" s="48">
        <f t="shared" si="12"/>
        <v>0.0107588581327691</v>
      </c>
      <c r="I250" s="47" t="s">
        <v>195</v>
      </c>
    </row>
    <row r="251" spans="1:9">
      <c r="A251" s="47" t="s">
        <v>139</v>
      </c>
      <c r="B251" s="48">
        <v>0.00113394972827118</v>
      </c>
      <c r="C251" s="47" t="s">
        <v>127</v>
      </c>
      <c r="D251" s="37">
        <f t="shared" si="13"/>
        <v>0.00244933141306575</v>
      </c>
      <c r="E251" s="47" t="s">
        <v>114</v>
      </c>
      <c r="F251" s="48">
        <f t="shared" si="12"/>
        <v>0.00244933141306575</v>
      </c>
      <c r="I251" s="47" t="s">
        <v>195</v>
      </c>
    </row>
    <row r="252" spans="1:9">
      <c r="A252" s="47" t="s">
        <v>139</v>
      </c>
      <c r="B252" s="48">
        <v>0.00201293399706262</v>
      </c>
      <c r="C252" s="47" t="s">
        <v>127</v>
      </c>
      <c r="D252" s="37">
        <f t="shared" si="13"/>
        <v>0.00434793743365526</v>
      </c>
      <c r="E252" s="47" t="s">
        <v>114</v>
      </c>
      <c r="F252" s="48">
        <f t="shared" si="12"/>
        <v>0.00434793743365526</v>
      </c>
      <c r="I252" s="47" t="s">
        <v>195</v>
      </c>
    </row>
    <row r="253" spans="1:9">
      <c r="A253" s="47" t="s">
        <v>139</v>
      </c>
      <c r="B253" s="48">
        <v>0.00675098007218194</v>
      </c>
      <c r="C253" s="47" t="s">
        <v>127</v>
      </c>
      <c r="D253" s="37">
        <f t="shared" si="13"/>
        <v>0.014582116955913</v>
      </c>
      <c r="E253" s="47" t="s">
        <v>114</v>
      </c>
      <c r="F253" s="48">
        <f t="shared" si="12"/>
        <v>0.014582116955913</v>
      </c>
      <c r="I253" s="47" t="s">
        <v>195</v>
      </c>
    </row>
    <row r="254" spans="1:9">
      <c r="A254" s="47" t="s">
        <v>139</v>
      </c>
      <c r="B254" s="48">
        <v>0.0185797617306686</v>
      </c>
      <c r="C254" s="47" t="s">
        <v>127</v>
      </c>
      <c r="D254" s="37">
        <f t="shared" si="13"/>
        <v>0.0401322853382442</v>
      </c>
      <c r="E254" s="47" t="s">
        <v>114</v>
      </c>
      <c r="F254" s="48">
        <f t="shared" si="12"/>
        <v>0.0401322853382442</v>
      </c>
      <c r="I254" s="47" t="s">
        <v>195</v>
      </c>
    </row>
    <row r="255" spans="1:9">
      <c r="A255" s="47" t="s">
        <v>139</v>
      </c>
      <c r="B255" s="48">
        <v>0.0214594781935996</v>
      </c>
      <c r="C255" s="47" t="s">
        <v>127</v>
      </c>
      <c r="D255" s="37">
        <f t="shared" si="13"/>
        <v>0.0463524728981751</v>
      </c>
      <c r="E255" s="47" t="s">
        <v>114</v>
      </c>
      <c r="F255" s="48">
        <f t="shared" si="12"/>
        <v>0.0463524728981751</v>
      </c>
      <c r="I255" s="47" t="s">
        <v>195</v>
      </c>
    </row>
    <row r="256" spans="1:9">
      <c r="A256" s="47" t="s">
        <v>139</v>
      </c>
      <c r="B256" s="48">
        <v>0.00430571588466552</v>
      </c>
      <c r="C256" s="47" t="s">
        <v>127</v>
      </c>
      <c r="D256" s="37">
        <f t="shared" si="13"/>
        <v>0.00930034631087752</v>
      </c>
      <c r="E256" s="47" t="s">
        <v>114</v>
      </c>
      <c r="F256" s="48">
        <f t="shared" si="12"/>
        <v>0.00930034631087752</v>
      </c>
      <c r="I256" s="47" t="s">
        <v>195</v>
      </c>
    </row>
    <row r="257" spans="1:9">
      <c r="A257" s="47" t="s">
        <v>139</v>
      </c>
      <c r="B257" s="48">
        <v>0.0823793956241422</v>
      </c>
      <c r="C257" s="47" t="s">
        <v>127</v>
      </c>
      <c r="D257" s="37">
        <f t="shared" si="13"/>
        <v>0.177939494548147</v>
      </c>
      <c r="E257" s="47" t="s">
        <v>114</v>
      </c>
      <c r="F257" s="48">
        <f t="shared" si="12"/>
        <v>0.177939494548147</v>
      </c>
      <c r="I257" s="47" t="s">
        <v>195</v>
      </c>
    </row>
    <row r="258" spans="1:9">
      <c r="A258" s="47" t="s">
        <v>139</v>
      </c>
      <c r="B258" s="48">
        <v>0.0707903343085139</v>
      </c>
      <c r="C258" s="47" t="s">
        <v>127</v>
      </c>
      <c r="D258" s="37">
        <f t="shared" si="13"/>
        <v>0.15290712210639</v>
      </c>
      <c r="E258" s="47" t="s">
        <v>114</v>
      </c>
      <c r="F258" s="48">
        <f t="shared" si="12"/>
        <v>0.15290712210639</v>
      </c>
      <c r="I258" s="47" t="s">
        <v>195</v>
      </c>
    </row>
    <row r="259" spans="1:9">
      <c r="A259" s="47" t="s">
        <v>139</v>
      </c>
      <c r="B259" s="48">
        <v>0.0248527435591595</v>
      </c>
      <c r="C259" s="47" t="s">
        <v>127</v>
      </c>
      <c r="D259" s="37">
        <f t="shared" si="13"/>
        <v>0.0536819260877845</v>
      </c>
      <c r="E259" s="47" t="s">
        <v>114</v>
      </c>
      <c r="F259" s="48">
        <f t="shared" si="12"/>
        <v>0.0536819260877845</v>
      </c>
      <c r="I259" s="47" t="s">
        <v>195</v>
      </c>
    </row>
    <row r="260" spans="1:9">
      <c r="A260" s="47" t="s">
        <v>139</v>
      </c>
      <c r="B260" s="48">
        <v>0.0333002213345096</v>
      </c>
      <c r="C260" s="47" t="s">
        <v>127</v>
      </c>
      <c r="D260" s="37">
        <f t="shared" si="13"/>
        <v>0.0719284780825407</v>
      </c>
      <c r="E260" s="47" t="s">
        <v>114</v>
      </c>
      <c r="F260" s="48">
        <f t="shared" si="12"/>
        <v>0.0719284780825407</v>
      </c>
      <c r="I260" s="47" t="s">
        <v>195</v>
      </c>
    </row>
    <row r="261" spans="1:9">
      <c r="A261" s="47" t="s">
        <v>139</v>
      </c>
      <c r="B261" s="48">
        <v>0.0158455660078521</v>
      </c>
      <c r="C261" s="47" t="s">
        <v>127</v>
      </c>
      <c r="D261" s="37">
        <f t="shared" si="13"/>
        <v>0.0342264225769605</v>
      </c>
      <c r="E261" s="47" t="s">
        <v>114</v>
      </c>
      <c r="F261" s="48">
        <f t="shared" si="12"/>
        <v>0.0342264225769605</v>
      </c>
      <c r="I261" s="47" t="s">
        <v>195</v>
      </c>
    </row>
    <row r="262" spans="1:9">
      <c r="A262" s="47" t="s">
        <v>139</v>
      </c>
      <c r="B262" s="48">
        <v>0.0300909431882225</v>
      </c>
      <c r="C262" s="47" t="s">
        <v>127</v>
      </c>
      <c r="D262" s="37">
        <f t="shared" si="13"/>
        <v>0.0649964372865606</v>
      </c>
      <c r="E262" s="47" t="s">
        <v>114</v>
      </c>
      <c r="F262" s="48">
        <f t="shared" si="12"/>
        <v>0.0649964372865606</v>
      </c>
      <c r="I262" s="47" t="s">
        <v>195</v>
      </c>
    </row>
    <row r="263" spans="1:9">
      <c r="A263" s="47" t="s">
        <v>139</v>
      </c>
      <c r="B263" s="48">
        <v>0.0031075566771554</v>
      </c>
      <c r="C263" s="47" t="s">
        <v>127</v>
      </c>
      <c r="D263" s="37">
        <f t="shared" si="13"/>
        <v>0.00671232242265566</v>
      </c>
      <c r="E263" s="47" t="s">
        <v>114</v>
      </c>
      <c r="F263" s="48">
        <f t="shared" si="12"/>
        <v>0.00671232242265566</v>
      </c>
      <c r="I263" s="47" t="s">
        <v>195</v>
      </c>
    </row>
    <row r="264" spans="1:9">
      <c r="A264" s="47" t="s">
        <v>139</v>
      </c>
      <c r="B264" s="48">
        <v>0.00346059968846234</v>
      </c>
      <c r="C264" s="47" t="s">
        <v>127</v>
      </c>
      <c r="D264" s="37">
        <f t="shared" si="13"/>
        <v>0.00747489532707865</v>
      </c>
      <c r="E264" s="47" t="s">
        <v>114</v>
      </c>
      <c r="F264" s="48">
        <f t="shared" si="12"/>
        <v>0.00747489532707865</v>
      </c>
      <c r="I264" s="47" t="s">
        <v>195</v>
      </c>
    </row>
    <row r="265" spans="1:9">
      <c r="A265" s="47" t="s">
        <v>139</v>
      </c>
      <c r="B265" s="48">
        <v>0.058668496648742</v>
      </c>
      <c r="C265" s="47" t="s">
        <v>127</v>
      </c>
      <c r="D265" s="37">
        <f t="shared" si="13"/>
        <v>0.126723952761283</v>
      </c>
      <c r="E265" s="47" t="s">
        <v>114</v>
      </c>
      <c r="F265" s="48">
        <f t="shared" si="12"/>
        <v>0.126723952761283</v>
      </c>
      <c r="I265" s="47" t="s">
        <v>195</v>
      </c>
    </row>
    <row r="266" spans="1:9">
      <c r="A266" s="47" t="s">
        <v>139</v>
      </c>
      <c r="B266" s="48">
        <v>0.0262796148860467</v>
      </c>
      <c r="C266" s="47" t="s">
        <v>127</v>
      </c>
      <c r="D266" s="37">
        <f t="shared" si="13"/>
        <v>0.0567639681538609</v>
      </c>
      <c r="E266" s="47" t="s">
        <v>114</v>
      </c>
      <c r="F266" s="48">
        <f t="shared" si="12"/>
        <v>0.0567639681538609</v>
      </c>
      <c r="I266" s="47" t="s">
        <v>195</v>
      </c>
    </row>
    <row r="267" spans="1:9">
      <c r="A267" s="47" t="s">
        <v>117</v>
      </c>
      <c r="B267" s="48">
        <v>0.0447744084558195</v>
      </c>
      <c r="C267" s="47" t="s">
        <v>127</v>
      </c>
      <c r="D267" s="37">
        <f t="shared" si="13"/>
        <v>0.0967127222645701</v>
      </c>
      <c r="E267" s="47" t="s">
        <v>114</v>
      </c>
      <c r="F267" s="48">
        <f t="shared" si="12"/>
        <v>0.0967127222645701</v>
      </c>
      <c r="I267" s="47" t="s">
        <v>195</v>
      </c>
    </row>
    <row r="268" spans="1:9">
      <c r="A268" s="47" t="s">
        <v>126</v>
      </c>
      <c r="B268" s="48">
        <v>0.0565426804825117</v>
      </c>
      <c r="C268" s="47" t="s">
        <v>127</v>
      </c>
      <c r="D268" s="37">
        <f t="shared" si="13"/>
        <v>0.122132189842225</v>
      </c>
      <c r="E268" s="47" t="s">
        <v>114</v>
      </c>
      <c r="F268" s="48">
        <f t="shared" si="12"/>
        <v>0.122132189842225</v>
      </c>
      <c r="I268" s="47" t="s">
        <v>195</v>
      </c>
    </row>
    <row r="269" spans="1:9">
      <c r="A269" s="47" t="s">
        <v>126</v>
      </c>
      <c r="B269" s="48">
        <v>0.0421372476621758</v>
      </c>
      <c r="C269" s="47" t="s">
        <v>127</v>
      </c>
      <c r="D269" s="37">
        <f t="shared" si="13"/>
        <v>0.0910164549502997</v>
      </c>
      <c r="E269" s="47" t="s">
        <v>114</v>
      </c>
      <c r="F269" s="48">
        <f t="shared" si="12"/>
        <v>0.0910164549502997</v>
      </c>
      <c r="I269" s="47" t="s">
        <v>195</v>
      </c>
    </row>
    <row r="270" spans="1:9">
      <c r="A270" s="47" t="s">
        <v>126</v>
      </c>
      <c r="B270" s="48">
        <v>0.0176562635410147</v>
      </c>
      <c r="C270" s="47" t="s">
        <v>127</v>
      </c>
      <c r="D270" s="37">
        <f t="shared" si="13"/>
        <v>0.0381375292485918</v>
      </c>
      <c r="E270" s="47" t="s">
        <v>114</v>
      </c>
      <c r="F270" s="48">
        <f t="shared" si="12"/>
        <v>0.0381375292485918</v>
      </c>
      <c r="I270" s="47" t="s">
        <v>195</v>
      </c>
    </row>
    <row r="271" spans="1:9">
      <c r="A271" s="47" t="s">
        <v>126</v>
      </c>
      <c r="B271" s="48">
        <v>0.00882767579069617</v>
      </c>
      <c r="C271" s="47" t="s">
        <v>127</v>
      </c>
      <c r="D271" s="37">
        <f t="shared" si="13"/>
        <v>0.0190677797079037</v>
      </c>
      <c r="E271" s="47" t="s">
        <v>114</v>
      </c>
      <c r="F271" s="48">
        <f t="shared" si="12"/>
        <v>0.0190677797079037</v>
      </c>
      <c r="I271" s="47" t="s">
        <v>195</v>
      </c>
    </row>
    <row r="272" spans="1:9">
      <c r="A272" s="47" t="s">
        <v>126</v>
      </c>
      <c r="B272" s="48">
        <v>0.011032556309944</v>
      </c>
      <c r="C272" s="47" t="s">
        <v>127</v>
      </c>
      <c r="D272" s="37">
        <f t="shared" si="13"/>
        <v>0.023830321629479</v>
      </c>
      <c r="E272" s="47" t="s">
        <v>114</v>
      </c>
      <c r="F272" s="48">
        <f t="shared" si="12"/>
        <v>0.023830321629479</v>
      </c>
      <c r="I272" s="47" t="s">
        <v>195</v>
      </c>
    </row>
    <row r="273" spans="1:9">
      <c r="A273" s="47" t="s">
        <v>126</v>
      </c>
      <c r="B273" s="48">
        <v>0.0207155099727791</v>
      </c>
      <c r="C273" s="47" t="s">
        <v>127</v>
      </c>
      <c r="D273" s="37">
        <f t="shared" si="13"/>
        <v>0.0447455015412029</v>
      </c>
      <c r="E273" s="47" t="s">
        <v>114</v>
      </c>
      <c r="F273" s="48">
        <f t="shared" si="12"/>
        <v>0.0447455015412029</v>
      </c>
      <c r="I273" s="47" t="s">
        <v>195</v>
      </c>
    </row>
    <row r="274" spans="1:9">
      <c r="A274" s="47" t="s">
        <v>126</v>
      </c>
      <c r="B274" s="48">
        <v>0.00501815708331484</v>
      </c>
      <c r="C274" s="47" t="s">
        <v>127</v>
      </c>
      <c r="D274" s="37">
        <f t="shared" si="13"/>
        <v>0.0108392192999601</v>
      </c>
      <c r="E274" s="47" t="s">
        <v>114</v>
      </c>
      <c r="F274" s="48">
        <f t="shared" ref="F274:F337" si="14">D274</f>
        <v>0.0108392192999601</v>
      </c>
      <c r="I274" s="47" t="s">
        <v>195</v>
      </c>
    </row>
    <row r="275" spans="1:9">
      <c r="A275" s="47" t="s">
        <v>126</v>
      </c>
      <c r="B275" s="48">
        <v>0.00950651385538532</v>
      </c>
      <c r="C275" s="47" t="s">
        <v>127</v>
      </c>
      <c r="D275" s="37">
        <f t="shared" si="13"/>
        <v>0.0205340699276323</v>
      </c>
      <c r="E275" s="47" t="s">
        <v>114</v>
      </c>
      <c r="F275" s="48">
        <f t="shared" si="14"/>
        <v>0.0205340699276323</v>
      </c>
      <c r="I275" s="47" t="s">
        <v>195</v>
      </c>
    </row>
    <row r="276" spans="1:9">
      <c r="A276" s="47" t="s">
        <v>126</v>
      </c>
      <c r="B276" s="48">
        <v>0.00575169149350842</v>
      </c>
      <c r="C276" s="47" t="s">
        <v>127</v>
      </c>
      <c r="D276" s="37">
        <f t="shared" si="13"/>
        <v>0.0124236536259782</v>
      </c>
      <c r="E276" s="47" t="s">
        <v>114</v>
      </c>
      <c r="F276" s="48">
        <f t="shared" si="14"/>
        <v>0.0124236536259782</v>
      </c>
      <c r="I276" s="47" t="s">
        <v>195</v>
      </c>
    </row>
    <row r="277" spans="1:9">
      <c r="A277" s="47" t="s">
        <v>126</v>
      </c>
      <c r="B277" s="48">
        <v>0.00535965958656846</v>
      </c>
      <c r="C277" s="47" t="s">
        <v>127</v>
      </c>
      <c r="D277" s="37">
        <f t="shared" si="13"/>
        <v>0.0115768647069879</v>
      </c>
      <c r="E277" s="47" t="s">
        <v>114</v>
      </c>
      <c r="F277" s="48">
        <f t="shared" si="14"/>
        <v>0.0115768647069879</v>
      </c>
      <c r="I277" s="47" t="s">
        <v>195</v>
      </c>
    </row>
    <row r="278" spans="1:9">
      <c r="A278" s="47" t="s">
        <v>126</v>
      </c>
      <c r="B278" s="48">
        <v>0.00553466685730904</v>
      </c>
      <c r="C278" s="47" t="s">
        <v>127</v>
      </c>
      <c r="D278" s="37">
        <f t="shared" si="13"/>
        <v>0.0119548804117875</v>
      </c>
      <c r="E278" s="47" t="s">
        <v>114</v>
      </c>
      <c r="F278" s="48">
        <f t="shared" si="14"/>
        <v>0.0119548804117875</v>
      </c>
      <c r="I278" s="47" t="s">
        <v>195</v>
      </c>
    </row>
    <row r="279" spans="1:9">
      <c r="A279" s="47" t="s">
        <v>126</v>
      </c>
      <c r="B279" s="48">
        <v>0.00615994488032302</v>
      </c>
      <c r="C279" s="47" t="s">
        <v>127</v>
      </c>
      <c r="D279" s="37">
        <f t="shared" si="13"/>
        <v>0.0133054809414977</v>
      </c>
      <c r="E279" s="47" t="s">
        <v>114</v>
      </c>
      <c r="F279" s="48">
        <f t="shared" si="14"/>
        <v>0.0133054809414977</v>
      </c>
      <c r="I279" s="47" t="s">
        <v>195</v>
      </c>
    </row>
    <row r="280" spans="1:9">
      <c r="A280" s="47" t="s">
        <v>126</v>
      </c>
      <c r="B280" s="48">
        <v>0.00140706633500575</v>
      </c>
      <c r="C280" s="47" t="s">
        <v>127</v>
      </c>
      <c r="D280" s="37">
        <f t="shared" si="13"/>
        <v>0.00303926328361242</v>
      </c>
      <c r="E280" s="47" t="s">
        <v>114</v>
      </c>
      <c r="F280" s="48">
        <f t="shared" si="14"/>
        <v>0.00303926328361242</v>
      </c>
      <c r="I280" s="47" t="s">
        <v>195</v>
      </c>
    </row>
    <row r="281" spans="1:9">
      <c r="A281" s="47" t="s">
        <v>126</v>
      </c>
      <c r="B281" s="48">
        <v>0.00384161212061419</v>
      </c>
      <c r="C281" s="47" t="s">
        <v>127</v>
      </c>
      <c r="D281" s="37">
        <f t="shared" ref="D281:D344" si="15">B281*0.9*2.4</f>
        <v>0.00829788218052665</v>
      </c>
      <c r="E281" s="47" t="s">
        <v>114</v>
      </c>
      <c r="F281" s="48">
        <f t="shared" si="14"/>
        <v>0.00829788218052665</v>
      </c>
      <c r="I281" s="47" t="s">
        <v>195</v>
      </c>
    </row>
    <row r="282" spans="1:9">
      <c r="A282" s="47" t="s">
        <v>126</v>
      </c>
      <c r="B282" s="48">
        <v>0.00369009730858548</v>
      </c>
      <c r="C282" s="47" t="s">
        <v>127</v>
      </c>
      <c r="D282" s="37">
        <f t="shared" si="15"/>
        <v>0.00797061018654464</v>
      </c>
      <c r="E282" s="47" t="s">
        <v>114</v>
      </c>
      <c r="F282" s="48">
        <f t="shared" si="14"/>
        <v>0.00797061018654464</v>
      </c>
      <c r="I282" s="47" t="s">
        <v>195</v>
      </c>
    </row>
    <row r="283" spans="1:9">
      <c r="A283" s="47" t="s">
        <v>126</v>
      </c>
      <c r="B283" s="48">
        <v>0.000688933650068091</v>
      </c>
      <c r="C283" s="47" t="s">
        <v>127</v>
      </c>
      <c r="D283" s="37">
        <f t="shared" si="15"/>
        <v>0.00148809668414708</v>
      </c>
      <c r="E283" s="47" t="s">
        <v>114</v>
      </c>
      <c r="F283" s="48">
        <f t="shared" si="14"/>
        <v>0.00148809668414708</v>
      </c>
      <c r="I283" s="47" t="s">
        <v>195</v>
      </c>
    </row>
    <row r="284" spans="1:9">
      <c r="A284" s="47" t="s">
        <v>126</v>
      </c>
      <c r="B284" s="48">
        <v>0.00538234655705589</v>
      </c>
      <c r="C284" s="47" t="s">
        <v>127</v>
      </c>
      <c r="D284" s="37">
        <f t="shared" si="15"/>
        <v>0.0116258685632407</v>
      </c>
      <c r="E284" s="47" t="s">
        <v>114</v>
      </c>
      <c r="F284" s="48">
        <f t="shared" si="14"/>
        <v>0.0116258685632407</v>
      </c>
      <c r="I284" s="47" t="s">
        <v>195</v>
      </c>
    </row>
    <row r="285" spans="1:9">
      <c r="A285" s="47" t="s">
        <v>126</v>
      </c>
      <c r="B285" s="48">
        <v>0.00498095283924494</v>
      </c>
      <c r="C285" s="47" t="s">
        <v>127</v>
      </c>
      <c r="D285" s="37">
        <f t="shared" si="15"/>
        <v>0.0107588581327691</v>
      </c>
      <c r="E285" s="47" t="s">
        <v>114</v>
      </c>
      <c r="F285" s="48">
        <f t="shared" si="14"/>
        <v>0.0107588581327691</v>
      </c>
      <c r="I285" s="47" t="s">
        <v>195</v>
      </c>
    </row>
    <row r="286" spans="1:9">
      <c r="A286" s="47" t="s">
        <v>126</v>
      </c>
      <c r="B286" s="48">
        <v>0.0588393707056291</v>
      </c>
      <c r="C286" s="47" t="s">
        <v>127</v>
      </c>
      <c r="D286" s="37">
        <f t="shared" si="15"/>
        <v>0.127093040724159</v>
      </c>
      <c r="E286" s="47" t="s">
        <v>114</v>
      </c>
      <c r="F286" s="48">
        <f t="shared" si="14"/>
        <v>0.127093040724159</v>
      </c>
      <c r="I286" s="47" t="s">
        <v>195</v>
      </c>
    </row>
    <row r="287" spans="1:9">
      <c r="A287" s="47" t="s">
        <v>126</v>
      </c>
      <c r="B287" s="48">
        <v>0.0722048897542324</v>
      </c>
      <c r="C287" s="47" t="s">
        <v>127</v>
      </c>
      <c r="D287" s="37">
        <f t="shared" si="15"/>
        <v>0.155962561869142</v>
      </c>
      <c r="E287" s="47" t="s">
        <v>114</v>
      </c>
      <c r="F287" s="48">
        <f t="shared" si="14"/>
        <v>0.155962561869142</v>
      </c>
      <c r="I287" s="47" t="s">
        <v>195</v>
      </c>
    </row>
    <row r="288" spans="1:9">
      <c r="A288" s="47" t="s">
        <v>126</v>
      </c>
      <c r="B288" s="48">
        <v>0.109602283918804</v>
      </c>
      <c r="C288" s="47" t="s">
        <v>127</v>
      </c>
      <c r="D288" s="37">
        <f t="shared" si="15"/>
        <v>0.236740933264617</v>
      </c>
      <c r="E288" s="47" t="s">
        <v>114</v>
      </c>
      <c r="F288" s="48">
        <f t="shared" si="14"/>
        <v>0.236740933264617</v>
      </c>
      <c r="I288" s="47" t="s">
        <v>195</v>
      </c>
    </row>
    <row r="289" spans="1:9">
      <c r="A289" s="47" t="s">
        <v>126</v>
      </c>
      <c r="B289" s="48">
        <v>0.00113394972827118</v>
      </c>
      <c r="C289" s="47" t="s">
        <v>127</v>
      </c>
      <c r="D289" s="37">
        <f t="shared" si="15"/>
        <v>0.00244933141306575</v>
      </c>
      <c r="E289" s="47" t="s">
        <v>114</v>
      </c>
      <c r="F289" s="48">
        <f t="shared" si="14"/>
        <v>0.00244933141306575</v>
      </c>
      <c r="I289" s="47" t="s">
        <v>195</v>
      </c>
    </row>
    <row r="290" spans="1:9">
      <c r="A290" s="47" t="s">
        <v>126</v>
      </c>
      <c r="B290" s="48">
        <v>0.00201293399706262</v>
      </c>
      <c r="C290" s="47" t="s">
        <v>127</v>
      </c>
      <c r="D290" s="37">
        <f t="shared" si="15"/>
        <v>0.00434793743365526</v>
      </c>
      <c r="E290" s="47" t="s">
        <v>114</v>
      </c>
      <c r="F290" s="48">
        <f t="shared" si="14"/>
        <v>0.00434793743365526</v>
      </c>
      <c r="I290" s="47" t="s">
        <v>195</v>
      </c>
    </row>
    <row r="291" spans="1:9">
      <c r="A291" s="47" t="s">
        <v>126</v>
      </c>
      <c r="B291" s="48">
        <v>0.00675098007218194</v>
      </c>
      <c r="C291" s="47" t="s">
        <v>127</v>
      </c>
      <c r="D291" s="37">
        <f t="shared" si="15"/>
        <v>0.014582116955913</v>
      </c>
      <c r="E291" s="47" t="s">
        <v>114</v>
      </c>
      <c r="F291" s="48">
        <f t="shared" si="14"/>
        <v>0.014582116955913</v>
      </c>
      <c r="I291" s="47" t="s">
        <v>195</v>
      </c>
    </row>
    <row r="292" spans="1:9">
      <c r="A292" s="47" t="s">
        <v>126</v>
      </c>
      <c r="B292" s="48">
        <v>0.00579432823969721</v>
      </c>
      <c r="C292" s="47" t="s">
        <v>127</v>
      </c>
      <c r="D292" s="37">
        <f t="shared" si="15"/>
        <v>0.012515748997746</v>
      </c>
      <c r="E292" s="47" t="s">
        <v>114</v>
      </c>
      <c r="F292" s="48">
        <f t="shared" si="14"/>
        <v>0.012515748997746</v>
      </c>
      <c r="I292" s="47" t="s">
        <v>195</v>
      </c>
    </row>
    <row r="293" spans="1:9">
      <c r="A293" s="47" t="s">
        <v>126</v>
      </c>
      <c r="B293" s="48">
        <v>0.00455529776212783</v>
      </c>
      <c r="C293" s="47" t="s">
        <v>127</v>
      </c>
      <c r="D293" s="37">
        <f t="shared" si="15"/>
        <v>0.00983944316619611</v>
      </c>
      <c r="E293" s="47" t="s">
        <v>114</v>
      </c>
      <c r="F293" s="48">
        <f t="shared" si="14"/>
        <v>0.00983944316619611</v>
      </c>
      <c r="I293" s="47" t="s">
        <v>195</v>
      </c>
    </row>
    <row r="294" spans="1:9">
      <c r="A294" s="47" t="s">
        <v>126</v>
      </c>
      <c r="B294" s="48">
        <v>0.00519250692920871</v>
      </c>
      <c r="C294" s="47" t="s">
        <v>127</v>
      </c>
      <c r="D294" s="37">
        <f t="shared" si="15"/>
        <v>0.0112158149670908</v>
      </c>
      <c r="E294" s="47" t="s">
        <v>114</v>
      </c>
      <c r="F294" s="48">
        <f t="shared" si="14"/>
        <v>0.0112158149670908</v>
      </c>
      <c r="I294" s="47" t="s">
        <v>195</v>
      </c>
    </row>
    <row r="295" spans="1:9">
      <c r="A295" s="47" t="s">
        <v>126</v>
      </c>
      <c r="B295" s="48">
        <v>0.00496471662045822</v>
      </c>
      <c r="C295" s="47" t="s">
        <v>127</v>
      </c>
      <c r="D295" s="37">
        <f t="shared" si="15"/>
        <v>0.0107237879001898</v>
      </c>
      <c r="E295" s="47" t="s">
        <v>114</v>
      </c>
      <c r="F295" s="48">
        <f t="shared" si="14"/>
        <v>0.0107237879001898</v>
      </c>
      <c r="I295" s="47" t="s">
        <v>195</v>
      </c>
    </row>
    <row r="296" spans="1:9">
      <c r="A296" s="47" t="s">
        <v>126</v>
      </c>
      <c r="B296" s="48">
        <v>0.0267124888620891</v>
      </c>
      <c r="C296" s="47" t="s">
        <v>127</v>
      </c>
      <c r="D296" s="37">
        <f t="shared" si="15"/>
        <v>0.0576989759421125</v>
      </c>
      <c r="E296" s="47" t="s">
        <v>114</v>
      </c>
      <c r="F296" s="48">
        <f t="shared" si="14"/>
        <v>0.0576989759421125</v>
      </c>
      <c r="I296" s="47" t="s">
        <v>195</v>
      </c>
    </row>
    <row r="297" spans="1:9">
      <c r="A297" s="47" t="s">
        <v>126</v>
      </c>
      <c r="B297" s="48">
        <v>0.0504160081327321</v>
      </c>
      <c r="C297" s="47" t="s">
        <v>127</v>
      </c>
      <c r="D297" s="37">
        <f t="shared" si="15"/>
        <v>0.108898577566701</v>
      </c>
      <c r="E297" s="47" t="s">
        <v>114</v>
      </c>
      <c r="F297" s="48">
        <f t="shared" si="14"/>
        <v>0.108898577566701</v>
      </c>
      <c r="I297" s="47" t="s">
        <v>195</v>
      </c>
    </row>
    <row r="298" spans="1:9">
      <c r="A298" s="47" t="s">
        <v>126</v>
      </c>
      <c r="B298" s="48">
        <v>0.00506781090606839</v>
      </c>
      <c r="C298" s="47" t="s">
        <v>127</v>
      </c>
      <c r="D298" s="37">
        <f t="shared" si="15"/>
        <v>0.0109464715571077</v>
      </c>
      <c r="E298" s="47" t="s">
        <v>114</v>
      </c>
      <c r="F298" s="48">
        <f t="shared" si="14"/>
        <v>0.0109464715571077</v>
      </c>
      <c r="I298" s="47" t="s">
        <v>195</v>
      </c>
    </row>
    <row r="299" spans="1:9">
      <c r="A299" s="47" t="s">
        <v>126</v>
      </c>
      <c r="B299" s="48">
        <v>0.00223104962601504</v>
      </c>
      <c r="C299" s="47" t="s">
        <v>127</v>
      </c>
      <c r="D299" s="37">
        <f t="shared" si="15"/>
        <v>0.00481906719219249</v>
      </c>
      <c r="E299" s="47" t="s">
        <v>114</v>
      </c>
      <c r="F299" s="48">
        <f t="shared" si="14"/>
        <v>0.00481906719219249</v>
      </c>
      <c r="I299" s="47" t="s">
        <v>195</v>
      </c>
    </row>
    <row r="300" spans="1:9">
      <c r="A300" s="47" t="s">
        <v>126</v>
      </c>
      <c r="B300" s="48">
        <v>0.00381917335097809</v>
      </c>
      <c r="C300" s="47" t="s">
        <v>127</v>
      </c>
      <c r="D300" s="37">
        <f t="shared" si="15"/>
        <v>0.00824941443811267</v>
      </c>
      <c r="E300" s="47" t="s">
        <v>114</v>
      </c>
      <c r="F300" s="48">
        <f t="shared" si="14"/>
        <v>0.00824941443811267</v>
      </c>
      <c r="I300" s="47" t="s">
        <v>195</v>
      </c>
    </row>
    <row r="301" spans="1:9">
      <c r="A301" s="47" t="s">
        <v>126</v>
      </c>
      <c r="B301" s="48">
        <v>0.00410478152234881</v>
      </c>
      <c r="C301" s="47" t="s">
        <v>127</v>
      </c>
      <c r="D301" s="37">
        <f t="shared" si="15"/>
        <v>0.00886632808827343</v>
      </c>
      <c r="E301" s="47" t="s">
        <v>114</v>
      </c>
      <c r="F301" s="48">
        <f t="shared" si="14"/>
        <v>0.00886632808827343</v>
      </c>
      <c r="I301" s="47" t="s">
        <v>195</v>
      </c>
    </row>
    <row r="302" spans="1:9">
      <c r="A302" s="47" t="s">
        <v>126</v>
      </c>
      <c r="B302" s="48">
        <v>0.00469212127403201</v>
      </c>
      <c r="C302" s="47" t="s">
        <v>127</v>
      </c>
      <c r="D302" s="37">
        <f t="shared" si="15"/>
        <v>0.0101349819519091</v>
      </c>
      <c r="E302" s="47" t="s">
        <v>114</v>
      </c>
      <c r="F302" s="48">
        <f t="shared" si="14"/>
        <v>0.0101349819519091</v>
      </c>
      <c r="I302" s="47" t="s">
        <v>195</v>
      </c>
    </row>
    <row r="303" spans="1:9">
      <c r="A303" s="47" t="s">
        <v>126</v>
      </c>
      <c r="B303" s="48">
        <v>0.00467843824524112</v>
      </c>
      <c r="C303" s="47" t="s">
        <v>127</v>
      </c>
      <c r="D303" s="37">
        <f t="shared" si="15"/>
        <v>0.0101054266097208</v>
      </c>
      <c r="E303" s="47" t="s">
        <v>114</v>
      </c>
      <c r="F303" s="48">
        <f t="shared" si="14"/>
        <v>0.0101054266097208</v>
      </c>
      <c r="I303" s="47" t="s">
        <v>195</v>
      </c>
    </row>
    <row r="304" spans="1:9">
      <c r="A304" s="47" t="s">
        <v>126</v>
      </c>
      <c r="B304" s="48">
        <v>0.00331345172479922</v>
      </c>
      <c r="C304" s="47" t="s">
        <v>127</v>
      </c>
      <c r="D304" s="37">
        <f t="shared" si="15"/>
        <v>0.00715705572556631</v>
      </c>
      <c r="E304" s="47" t="s">
        <v>114</v>
      </c>
      <c r="F304" s="48">
        <f t="shared" si="14"/>
        <v>0.00715705572556631</v>
      </c>
      <c r="I304" s="47" t="s">
        <v>195</v>
      </c>
    </row>
    <row r="305" spans="1:9">
      <c r="A305" s="47" t="s">
        <v>126</v>
      </c>
      <c r="B305" s="48">
        <v>0.00287853926927225</v>
      </c>
      <c r="C305" s="47" t="s">
        <v>127</v>
      </c>
      <c r="D305" s="37">
        <f t="shared" si="15"/>
        <v>0.00621764482162806</v>
      </c>
      <c r="E305" s="47" t="s">
        <v>114</v>
      </c>
      <c r="F305" s="48">
        <f t="shared" si="14"/>
        <v>0.00621764482162806</v>
      </c>
      <c r="I305" s="47" t="s">
        <v>195</v>
      </c>
    </row>
    <row r="306" spans="1:9">
      <c r="A306" s="47" t="s">
        <v>126</v>
      </c>
      <c r="B306" s="48">
        <v>0.00484012240934437</v>
      </c>
      <c r="C306" s="47" t="s">
        <v>127</v>
      </c>
      <c r="D306" s="37">
        <f t="shared" si="15"/>
        <v>0.0104546644041838</v>
      </c>
      <c r="E306" s="47" t="s">
        <v>114</v>
      </c>
      <c r="F306" s="48">
        <f t="shared" si="14"/>
        <v>0.0104546644041838</v>
      </c>
      <c r="I306" s="47" t="s">
        <v>195</v>
      </c>
    </row>
    <row r="307" spans="1:9">
      <c r="A307" s="47" t="s">
        <v>126</v>
      </c>
      <c r="B307" s="48">
        <v>0.00739577858786343</v>
      </c>
      <c r="C307" s="47" t="s">
        <v>127</v>
      </c>
      <c r="D307" s="37">
        <f t="shared" si="15"/>
        <v>0.015974881749785</v>
      </c>
      <c r="E307" s="47" t="s">
        <v>114</v>
      </c>
      <c r="F307" s="48">
        <f t="shared" si="14"/>
        <v>0.015974881749785</v>
      </c>
      <c r="I307" s="47" t="s">
        <v>195</v>
      </c>
    </row>
    <row r="308" spans="1:9">
      <c r="A308" s="47" t="s">
        <v>126</v>
      </c>
      <c r="B308" s="48">
        <v>0.00422982371145243</v>
      </c>
      <c r="C308" s="47" t="s">
        <v>127</v>
      </c>
      <c r="D308" s="37">
        <f t="shared" si="15"/>
        <v>0.00913641921673725</v>
      </c>
      <c r="E308" s="47" t="s">
        <v>114</v>
      </c>
      <c r="F308" s="48">
        <f t="shared" si="14"/>
        <v>0.00913641921673725</v>
      </c>
      <c r="I308" s="47" t="s">
        <v>195</v>
      </c>
    </row>
    <row r="309" spans="1:9">
      <c r="A309" s="47" t="s">
        <v>126</v>
      </c>
      <c r="B309" s="48">
        <v>0.00381753958444669</v>
      </c>
      <c r="C309" s="47" t="s">
        <v>127</v>
      </c>
      <c r="D309" s="37">
        <f t="shared" si="15"/>
        <v>0.00824588550240485</v>
      </c>
      <c r="E309" s="47" t="s">
        <v>114</v>
      </c>
      <c r="F309" s="48">
        <f t="shared" si="14"/>
        <v>0.00824588550240485</v>
      </c>
      <c r="I309" s="47" t="s">
        <v>195</v>
      </c>
    </row>
    <row r="310" spans="1:9">
      <c r="A310" s="47" t="s">
        <v>126</v>
      </c>
      <c r="B310" s="48">
        <v>0.00668263534454222</v>
      </c>
      <c r="C310" s="47" t="s">
        <v>127</v>
      </c>
      <c r="D310" s="37">
        <f t="shared" si="15"/>
        <v>0.0144344923442112</v>
      </c>
      <c r="E310" s="47" t="s">
        <v>114</v>
      </c>
      <c r="F310" s="48">
        <f t="shared" si="14"/>
        <v>0.0144344923442112</v>
      </c>
      <c r="I310" s="47" t="s">
        <v>195</v>
      </c>
    </row>
    <row r="311" spans="1:9">
      <c r="A311" s="47" t="s">
        <v>126</v>
      </c>
      <c r="B311" s="48">
        <v>0.0085717093132186</v>
      </c>
      <c r="C311" s="47" t="s">
        <v>127</v>
      </c>
      <c r="D311" s="37">
        <f t="shared" si="15"/>
        <v>0.0185148921165522</v>
      </c>
      <c r="E311" s="47" t="s">
        <v>114</v>
      </c>
      <c r="F311" s="48">
        <f t="shared" si="14"/>
        <v>0.0185148921165522</v>
      </c>
      <c r="I311" s="47" t="s">
        <v>195</v>
      </c>
    </row>
    <row r="312" spans="1:9">
      <c r="A312" s="47" t="s">
        <v>126</v>
      </c>
      <c r="B312" s="48">
        <v>0.0222225369215867</v>
      </c>
      <c r="C312" s="47" t="s">
        <v>127</v>
      </c>
      <c r="D312" s="37">
        <f t="shared" si="15"/>
        <v>0.0480006797506273</v>
      </c>
      <c r="E312" s="47" t="s">
        <v>114</v>
      </c>
      <c r="F312" s="48">
        <f t="shared" si="14"/>
        <v>0.0480006797506273</v>
      </c>
      <c r="I312" s="47" t="s">
        <v>195</v>
      </c>
    </row>
    <row r="313" spans="1:9">
      <c r="A313" s="47" t="s">
        <v>126</v>
      </c>
      <c r="B313" s="48">
        <v>0.0452258698278382</v>
      </c>
      <c r="C313" s="47" t="s">
        <v>127</v>
      </c>
      <c r="D313" s="37">
        <f t="shared" si="15"/>
        <v>0.0976878788281305</v>
      </c>
      <c r="E313" s="47" t="s">
        <v>114</v>
      </c>
      <c r="F313" s="48">
        <f t="shared" si="14"/>
        <v>0.0976878788281305</v>
      </c>
      <c r="I313" s="47" t="s">
        <v>195</v>
      </c>
    </row>
    <row r="314" spans="1:9">
      <c r="A314" s="47" t="s">
        <v>126</v>
      </c>
      <c r="B314" s="48">
        <v>0.0185797617306686</v>
      </c>
      <c r="C314" s="47" t="s">
        <v>127</v>
      </c>
      <c r="D314" s="37">
        <f t="shared" si="15"/>
        <v>0.0401322853382442</v>
      </c>
      <c r="E314" s="47" t="s">
        <v>114</v>
      </c>
      <c r="F314" s="48">
        <f t="shared" si="14"/>
        <v>0.0401322853382442</v>
      </c>
      <c r="I314" s="47" t="s">
        <v>195</v>
      </c>
    </row>
    <row r="315" spans="1:9">
      <c r="A315" s="47" t="s">
        <v>126</v>
      </c>
      <c r="B315" s="48">
        <v>0.0214594781935996</v>
      </c>
      <c r="C315" s="47" t="s">
        <v>127</v>
      </c>
      <c r="D315" s="37">
        <f t="shared" si="15"/>
        <v>0.0463524728981751</v>
      </c>
      <c r="E315" s="47" t="s">
        <v>114</v>
      </c>
      <c r="F315" s="48">
        <f t="shared" si="14"/>
        <v>0.0463524728981751</v>
      </c>
      <c r="I315" s="47" t="s">
        <v>195</v>
      </c>
    </row>
    <row r="316" spans="1:9">
      <c r="A316" s="47" t="s">
        <v>126</v>
      </c>
      <c r="B316" s="48">
        <v>0.0245394415052141</v>
      </c>
      <c r="C316" s="47" t="s">
        <v>127</v>
      </c>
      <c r="D316" s="37">
        <f t="shared" si="15"/>
        <v>0.0530051936512624</v>
      </c>
      <c r="E316" s="47" t="s">
        <v>114</v>
      </c>
      <c r="F316" s="48">
        <f t="shared" si="14"/>
        <v>0.0530051936512624</v>
      </c>
      <c r="I316" s="47" t="s">
        <v>195</v>
      </c>
    </row>
    <row r="317" spans="1:9">
      <c r="A317" s="47" t="s">
        <v>126</v>
      </c>
      <c r="B317" s="48">
        <v>0.00430571588466552</v>
      </c>
      <c r="C317" s="47" t="s">
        <v>127</v>
      </c>
      <c r="D317" s="37">
        <f t="shared" si="15"/>
        <v>0.00930034631087752</v>
      </c>
      <c r="E317" s="47" t="s">
        <v>114</v>
      </c>
      <c r="F317" s="48">
        <f t="shared" si="14"/>
        <v>0.00930034631087752</v>
      </c>
      <c r="I317" s="47" t="s">
        <v>195</v>
      </c>
    </row>
    <row r="318" spans="1:9">
      <c r="A318" s="47" t="s">
        <v>126</v>
      </c>
      <c r="B318" s="48">
        <v>0.0128190849363074</v>
      </c>
      <c r="C318" s="47" t="s">
        <v>127</v>
      </c>
      <c r="D318" s="37">
        <f t="shared" si="15"/>
        <v>0.027689223462424</v>
      </c>
      <c r="E318" s="47" t="s">
        <v>114</v>
      </c>
      <c r="F318" s="48">
        <f t="shared" si="14"/>
        <v>0.027689223462424</v>
      </c>
      <c r="I318" s="47" t="s">
        <v>195</v>
      </c>
    </row>
    <row r="319" spans="1:9">
      <c r="A319" s="47" t="s">
        <v>126</v>
      </c>
      <c r="B319" s="48">
        <v>0.0086549724</v>
      </c>
      <c r="C319" s="47" t="s">
        <v>127</v>
      </c>
      <c r="D319" s="37">
        <f t="shared" si="15"/>
        <v>0.018694740384</v>
      </c>
      <c r="E319" s="47" t="s">
        <v>114</v>
      </c>
      <c r="F319" s="48">
        <f t="shared" si="14"/>
        <v>0.018694740384</v>
      </c>
      <c r="I319" s="47" t="s">
        <v>195</v>
      </c>
    </row>
    <row r="320" spans="1:9">
      <c r="A320" s="47" t="s">
        <v>126</v>
      </c>
      <c r="B320" s="48">
        <v>0.0147881929093021</v>
      </c>
      <c r="C320" s="47" t="s">
        <v>127</v>
      </c>
      <c r="D320" s="37">
        <f t="shared" si="15"/>
        <v>0.0319424966840925</v>
      </c>
      <c r="E320" s="47" t="s">
        <v>114</v>
      </c>
      <c r="F320" s="48">
        <f t="shared" si="14"/>
        <v>0.0319424966840925</v>
      </c>
      <c r="I320" s="47" t="s">
        <v>195</v>
      </c>
    </row>
    <row r="321" spans="1:9">
      <c r="A321" s="47" t="s">
        <v>126</v>
      </c>
      <c r="B321" s="48">
        <v>0.0129707549659751</v>
      </c>
      <c r="C321" s="47" t="s">
        <v>127</v>
      </c>
      <c r="D321" s="37">
        <f t="shared" si="15"/>
        <v>0.0280168307265062</v>
      </c>
      <c r="E321" s="47" t="s">
        <v>114</v>
      </c>
      <c r="F321" s="48">
        <f t="shared" si="14"/>
        <v>0.0280168307265062</v>
      </c>
      <c r="I321" s="47" t="s">
        <v>195</v>
      </c>
    </row>
    <row r="322" spans="1:9">
      <c r="A322" s="47" t="s">
        <v>126</v>
      </c>
      <c r="B322" s="48">
        <v>0.025074726308867</v>
      </c>
      <c r="C322" s="47" t="s">
        <v>127</v>
      </c>
      <c r="D322" s="37">
        <f t="shared" si="15"/>
        <v>0.0541614088271527</v>
      </c>
      <c r="E322" s="47" t="s">
        <v>114</v>
      </c>
      <c r="F322" s="48">
        <f t="shared" si="14"/>
        <v>0.0541614088271527</v>
      </c>
      <c r="I322" s="47" t="s">
        <v>195</v>
      </c>
    </row>
    <row r="323" spans="1:9">
      <c r="A323" s="47" t="s">
        <v>126</v>
      </c>
      <c r="B323" s="48">
        <v>0.044999122890246</v>
      </c>
      <c r="C323" s="47" t="s">
        <v>127</v>
      </c>
      <c r="D323" s="37">
        <f t="shared" si="15"/>
        <v>0.0971981054429314</v>
      </c>
      <c r="E323" s="47" t="s">
        <v>114</v>
      </c>
      <c r="F323" s="48">
        <f t="shared" si="14"/>
        <v>0.0971981054429314</v>
      </c>
      <c r="I323" s="47" t="s">
        <v>195</v>
      </c>
    </row>
    <row r="324" spans="1:9">
      <c r="A324" s="47" t="s">
        <v>126</v>
      </c>
      <c r="B324" s="48">
        <v>0.0079022729880277</v>
      </c>
      <c r="C324" s="47" t="s">
        <v>127</v>
      </c>
      <c r="D324" s="37">
        <f t="shared" si="15"/>
        <v>0.0170689096541398</v>
      </c>
      <c r="E324" s="47" t="s">
        <v>114</v>
      </c>
      <c r="F324" s="48">
        <f t="shared" si="14"/>
        <v>0.0170689096541398</v>
      </c>
      <c r="I324" s="47" t="s">
        <v>195</v>
      </c>
    </row>
    <row r="325" spans="1:9">
      <c r="A325" s="47" t="s">
        <v>126</v>
      </c>
      <c r="B325" s="48">
        <v>0.00580543194140503</v>
      </c>
      <c r="C325" s="47" t="s">
        <v>127</v>
      </c>
      <c r="D325" s="37">
        <f t="shared" si="15"/>
        <v>0.0125397329934349</v>
      </c>
      <c r="E325" s="47" t="s">
        <v>114</v>
      </c>
      <c r="F325" s="48">
        <f t="shared" si="14"/>
        <v>0.0125397329934349</v>
      </c>
      <c r="I325" s="47" t="s">
        <v>195</v>
      </c>
    </row>
    <row r="326" spans="1:9">
      <c r="A326" s="47" t="s">
        <v>126</v>
      </c>
      <c r="B326" s="48">
        <v>0.00797550753924777</v>
      </c>
      <c r="C326" s="47" t="s">
        <v>127</v>
      </c>
      <c r="D326" s="37">
        <f t="shared" si="15"/>
        <v>0.0172270962847752</v>
      </c>
      <c r="E326" s="47" t="s">
        <v>114</v>
      </c>
      <c r="F326" s="48">
        <f t="shared" si="14"/>
        <v>0.0172270962847752</v>
      </c>
      <c r="I326" s="47" t="s">
        <v>195</v>
      </c>
    </row>
    <row r="327" spans="1:9">
      <c r="A327" s="47" t="s">
        <v>126</v>
      </c>
      <c r="B327" s="48">
        <v>0.0205551419063257</v>
      </c>
      <c r="C327" s="47" t="s">
        <v>127</v>
      </c>
      <c r="D327" s="37">
        <f t="shared" si="15"/>
        <v>0.0443991065176635</v>
      </c>
      <c r="E327" s="47" t="s">
        <v>114</v>
      </c>
      <c r="F327" s="48">
        <f t="shared" si="14"/>
        <v>0.0443991065176635</v>
      </c>
      <c r="I327" s="47" t="s">
        <v>195</v>
      </c>
    </row>
    <row r="328" spans="1:9">
      <c r="A328" s="47" t="s">
        <v>126</v>
      </c>
      <c r="B328" s="48">
        <v>0.100838010178046</v>
      </c>
      <c r="C328" s="47" t="s">
        <v>127</v>
      </c>
      <c r="D328" s="37">
        <f t="shared" si="15"/>
        <v>0.217810101984579</v>
      </c>
      <c r="E328" s="47" t="s">
        <v>114</v>
      </c>
      <c r="F328" s="48">
        <f t="shared" si="14"/>
        <v>0.217810101984579</v>
      </c>
      <c r="I328" s="47" t="s">
        <v>195</v>
      </c>
    </row>
    <row r="329" spans="1:9">
      <c r="A329" s="47" t="s">
        <v>126</v>
      </c>
      <c r="B329" s="48">
        <v>0.0202608033695627</v>
      </c>
      <c r="C329" s="47" t="s">
        <v>127</v>
      </c>
      <c r="D329" s="37">
        <f t="shared" si="15"/>
        <v>0.0437633352782554</v>
      </c>
      <c r="E329" s="47" t="s">
        <v>114</v>
      </c>
      <c r="F329" s="48">
        <f t="shared" si="14"/>
        <v>0.0437633352782554</v>
      </c>
      <c r="I329" s="47" t="s">
        <v>195</v>
      </c>
    </row>
    <row r="330" spans="1:9">
      <c r="A330" s="47" t="s">
        <v>126</v>
      </c>
      <c r="B330" s="48">
        <v>0.0139267007325633</v>
      </c>
      <c r="C330" s="47" t="s">
        <v>127</v>
      </c>
      <c r="D330" s="37">
        <f t="shared" si="15"/>
        <v>0.0300816735823367</v>
      </c>
      <c r="E330" s="47" t="s">
        <v>114</v>
      </c>
      <c r="F330" s="48">
        <f t="shared" si="14"/>
        <v>0.0300816735823367</v>
      </c>
      <c r="I330" s="47" t="s">
        <v>195</v>
      </c>
    </row>
    <row r="331" spans="1:9">
      <c r="A331" s="47" t="s">
        <v>126</v>
      </c>
      <c r="B331" s="48">
        <v>0.0385322973776164</v>
      </c>
      <c r="C331" s="47" t="s">
        <v>127</v>
      </c>
      <c r="D331" s="37">
        <f t="shared" si="15"/>
        <v>0.0832297623356514</v>
      </c>
      <c r="E331" s="47" t="s">
        <v>114</v>
      </c>
      <c r="F331" s="48">
        <f t="shared" si="14"/>
        <v>0.0832297623356514</v>
      </c>
      <c r="I331" s="47" t="s">
        <v>195</v>
      </c>
    </row>
    <row r="332" spans="1:9">
      <c r="A332" s="47" t="s">
        <v>126</v>
      </c>
      <c r="B332" s="48">
        <v>0.00912701250773462</v>
      </c>
      <c r="C332" s="47" t="s">
        <v>127</v>
      </c>
      <c r="D332" s="37">
        <f t="shared" si="15"/>
        <v>0.0197143470167068</v>
      </c>
      <c r="E332" s="47" t="s">
        <v>114</v>
      </c>
      <c r="F332" s="48">
        <f t="shared" si="14"/>
        <v>0.0197143470167068</v>
      </c>
      <c r="I332" s="47" t="s">
        <v>195</v>
      </c>
    </row>
    <row r="333" spans="1:9">
      <c r="A333" s="47" t="s">
        <v>126</v>
      </c>
      <c r="B333" s="48">
        <v>0.0168673452432529</v>
      </c>
      <c r="C333" s="47" t="s">
        <v>127</v>
      </c>
      <c r="D333" s="37">
        <f t="shared" si="15"/>
        <v>0.0364334657254263</v>
      </c>
      <c r="E333" s="47" t="s">
        <v>114</v>
      </c>
      <c r="F333" s="48">
        <f t="shared" si="14"/>
        <v>0.0364334657254263</v>
      </c>
      <c r="I333" s="47" t="s">
        <v>195</v>
      </c>
    </row>
    <row r="334" spans="1:9">
      <c r="A334" s="47" t="s">
        <v>126</v>
      </c>
      <c r="B334" s="48">
        <v>0.0227681507131662</v>
      </c>
      <c r="C334" s="47" t="s">
        <v>127</v>
      </c>
      <c r="D334" s="37">
        <f t="shared" si="15"/>
        <v>0.049179205540439</v>
      </c>
      <c r="E334" s="47" t="s">
        <v>114</v>
      </c>
      <c r="F334" s="48">
        <f t="shared" si="14"/>
        <v>0.049179205540439</v>
      </c>
      <c r="I334" s="47" t="s">
        <v>195</v>
      </c>
    </row>
    <row r="335" spans="1:9">
      <c r="A335" s="47" t="s">
        <v>126</v>
      </c>
      <c r="B335" s="48">
        <v>0.00863676114832903</v>
      </c>
      <c r="C335" s="47" t="s">
        <v>127</v>
      </c>
      <c r="D335" s="37">
        <f t="shared" si="15"/>
        <v>0.0186554040803907</v>
      </c>
      <c r="E335" s="47" t="s">
        <v>114</v>
      </c>
      <c r="F335" s="48">
        <f t="shared" si="14"/>
        <v>0.0186554040803907</v>
      </c>
      <c r="I335" s="47" t="s">
        <v>195</v>
      </c>
    </row>
    <row r="336" spans="1:9">
      <c r="A336" s="47" t="s">
        <v>126</v>
      </c>
      <c r="B336" s="48">
        <v>0.0533484513949663</v>
      </c>
      <c r="C336" s="47" t="s">
        <v>127</v>
      </c>
      <c r="D336" s="37">
        <f t="shared" si="15"/>
        <v>0.115232655013127</v>
      </c>
      <c r="E336" s="47" t="s">
        <v>114</v>
      </c>
      <c r="F336" s="48">
        <f t="shared" si="14"/>
        <v>0.115232655013127</v>
      </c>
      <c r="I336" s="47" t="s">
        <v>195</v>
      </c>
    </row>
    <row r="337" spans="1:9">
      <c r="A337" s="47" t="s">
        <v>126</v>
      </c>
      <c r="B337" s="48">
        <v>0.0823793956241422</v>
      </c>
      <c r="C337" s="47" t="s">
        <v>127</v>
      </c>
      <c r="D337" s="37">
        <f t="shared" si="15"/>
        <v>0.177939494548147</v>
      </c>
      <c r="E337" s="47" t="s">
        <v>114</v>
      </c>
      <c r="F337" s="48">
        <f t="shared" si="14"/>
        <v>0.177939494548147</v>
      </c>
      <c r="I337" s="47" t="s">
        <v>195</v>
      </c>
    </row>
    <row r="338" spans="1:9">
      <c r="A338" s="47" t="s">
        <v>126</v>
      </c>
      <c r="B338" s="48">
        <v>0.0707903343085139</v>
      </c>
      <c r="C338" s="47" t="s">
        <v>127</v>
      </c>
      <c r="D338" s="37">
        <f t="shared" si="15"/>
        <v>0.15290712210639</v>
      </c>
      <c r="E338" s="47" t="s">
        <v>114</v>
      </c>
      <c r="F338" s="48">
        <f t="shared" ref="F338:F372" si="16">D338</f>
        <v>0.15290712210639</v>
      </c>
      <c r="I338" s="47" t="s">
        <v>195</v>
      </c>
    </row>
    <row r="339" spans="1:9">
      <c r="A339" s="47" t="s">
        <v>126</v>
      </c>
      <c r="B339" s="48">
        <v>0.0447744084558195</v>
      </c>
      <c r="C339" s="47" t="s">
        <v>127</v>
      </c>
      <c r="D339" s="37">
        <f t="shared" si="15"/>
        <v>0.0967127222645701</v>
      </c>
      <c r="E339" s="47" t="s">
        <v>114</v>
      </c>
      <c r="F339" s="48">
        <f t="shared" si="16"/>
        <v>0.0967127222645701</v>
      </c>
      <c r="I339" s="47" t="s">
        <v>195</v>
      </c>
    </row>
    <row r="340" spans="1:9">
      <c r="A340" s="47" t="s">
        <v>126</v>
      </c>
      <c r="B340" s="48">
        <v>0.0248527435591595</v>
      </c>
      <c r="C340" s="47" t="s">
        <v>127</v>
      </c>
      <c r="D340" s="37">
        <f t="shared" si="15"/>
        <v>0.0536819260877845</v>
      </c>
      <c r="E340" s="47" t="s">
        <v>114</v>
      </c>
      <c r="F340" s="48">
        <f t="shared" si="16"/>
        <v>0.0536819260877845</v>
      </c>
      <c r="I340" s="47" t="s">
        <v>195</v>
      </c>
    </row>
    <row r="341" spans="1:9">
      <c r="A341" s="47" t="s">
        <v>126</v>
      </c>
      <c r="B341" s="48">
        <v>0.0149660629789883</v>
      </c>
      <c r="C341" s="47" t="s">
        <v>127</v>
      </c>
      <c r="D341" s="37">
        <f t="shared" si="15"/>
        <v>0.0323266960346147</v>
      </c>
      <c r="E341" s="47" t="s">
        <v>114</v>
      </c>
      <c r="F341" s="48">
        <f t="shared" si="16"/>
        <v>0.0323266960346147</v>
      </c>
      <c r="I341" s="47" t="s">
        <v>195</v>
      </c>
    </row>
    <row r="342" spans="1:9">
      <c r="A342" s="47" t="s">
        <v>126</v>
      </c>
      <c r="B342" s="48">
        <v>0.0104689735</v>
      </c>
      <c r="C342" s="47" t="s">
        <v>127</v>
      </c>
      <c r="D342" s="37">
        <f t="shared" si="15"/>
        <v>0.02261298276</v>
      </c>
      <c r="E342" s="47" t="s">
        <v>114</v>
      </c>
      <c r="F342" s="48">
        <f t="shared" si="16"/>
        <v>0.02261298276</v>
      </c>
      <c r="I342" s="47" t="s">
        <v>195</v>
      </c>
    </row>
    <row r="343" spans="1:9">
      <c r="A343" s="47" t="s">
        <v>126</v>
      </c>
      <c r="B343" s="48">
        <v>0.0416513330511411</v>
      </c>
      <c r="C343" s="47" t="s">
        <v>127</v>
      </c>
      <c r="D343" s="37">
        <f t="shared" si="15"/>
        <v>0.0899668793904648</v>
      </c>
      <c r="E343" s="47" t="s">
        <v>114</v>
      </c>
      <c r="F343" s="48">
        <f t="shared" si="16"/>
        <v>0.0899668793904648</v>
      </c>
      <c r="I343" s="47" t="s">
        <v>195</v>
      </c>
    </row>
    <row r="344" spans="1:9">
      <c r="A344" s="47" t="s">
        <v>126</v>
      </c>
      <c r="B344" s="48">
        <v>0.0333002213345096</v>
      </c>
      <c r="C344" s="47" t="s">
        <v>127</v>
      </c>
      <c r="D344" s="37">
        <f t="shared" si="15"/>
        <v>0.0719284780825407</v>
      </c>
      <c r="E344" s="47" t="s">
        <v>114</v>
      </c>
      <c r="F344" s="48">
        <f t="shared" si="16"/>
        <v>0.0719284780825407</v>
      </c>
      <c r="I344" s="47" t="s">
        <v>195</v>
      </c>
    </row>
    <row r="345" spans="1:9">
      <c r="A345" s="47" t="s">
        <v>126</v>
      </c>
      <c r="B345" s="48">
        <v>0.0158455660078521</v>
      </c>
      <c r="C345" s="47" t="s">
        <v>127</v>
      </c>
      <c r="D345" s="37">
        <f t="shared" ref="D345:D365" si="17">B345*0.9*2.4</f>
        <v>0.0342264225769605</v>
      </c>
      <c r="E345" s="47" t="s">
        <v>114</v>
      </c>
      <c r="F345" s="48">
        <f t="shared" si="16"/>
        <v>0.0342264225769605</v>
      </c>
      <c r="I345" s="47" t="s">
        <v>195</v>
      </c>
    </row>
    <row r="346" spans="1:9">
      <c r="A346" s="47" t="s">
        <v>126</v>
      </c>
      <c r="B346" s="48">
        <v>0.0561258748695567</v>
      </c>
      <c r="C346" s="47" t="s">
        <v>127</v>
      </c>
      <c r="D346" s="37">
        <f t="shared" si="17"/>
        <v>0.121231889718242</v>
      </c>
      <c r="E346" s="47" t="s">
        <v>114</v>
      </c>
      <c r="F346" s="48">
        <f t="shared" si="16"/>
        <v>0.121231889718242</v>
      </c>
      <c r="I346" s="47" t="s">
        <v>195</v>
      </c>
    </row>
    <row r="347" spans="1:9">
      <c r="A347" s="47" t="s">
        <v>126</v>
      </c>
      <c r="B347" s="48">
        <v>0.0248476115254702</v>
      </c>
      <c r="C347" s="47" t="s">
        <v>127</v>
      </c>
      <c r="D347" s="37">
        <f t="shared" si="17"/>
        <v>0.0536708408950156</v>
      </c>
      <c r="E347" s="47" t="s">
        <v>114</v>
      </c>
      <c r="F347" s="48">
        <f t="shared" si="16"/>
        <v>0.0536708408950156</v>
      </c>
      <c r="I347" s="47" t="s">
        <v>195</v>
      </c>
    </row>
    <row r="348" spans="1:9">
      <c r="A348" s="47" t="s">
        <v>126</v>
      </c>
      <c r="B348" s="48">
        <v>0.0300909431882225</v>
      </c>
      <c r="C348" s="47" t="s">
        <v>127</v>
      </c>
      <c r="D348" s="37">
        <f t="shared" si="17"/>
        <v>0.0649964372865606</v>
      </c>
      <c r="E348" s="47" t="s">
        <v>114</v>
      </c>
      <c r="F348" s="48">
        <f t="shared" si="16"/>
        <v>0.0649964372865606</v>
      </c>
      <c r="I348" s="47" t="s">
        <v>195</v>
      </c>
    </row>
    <row r="349" spans="1:9">
      <c r="A349" s="47" t="s">
        <v>126</v>
      </c>
      <c r="B349" s="48">
        <v>0.0092265102521058</v>
      </c>
      <c r="C349" s="47" t="s">
        <v>127</v>
      </c>
      <c r="D349" s="37">
        <f t="shared" si="17"/>
        <v>0.0199292621445485</v>
      </c>
      <c r="E349" s="47" t="s">
        <v>114</v>
      </c>
      <c r="F349" s="48">
        <f t="shared" si="16"/>
        <v>0.0199292621445485</v>
      </c>
      <c r="I349" s="47" t="s">
        <v>195</v>
      </c>
    </row>
    <row r="350" spans="1:9">
      <c r="A350" s="47" t="s">
        <v>126</v>
      </c>
      <c r="B350" s="48">
        <v>0.00507680329198527</v>
      </c>
      <c r="C350" s="47" t="s">
        <v>127</v>
      </c>
      <c r="D350" s="37">
        <f t="shared" si="17"/>
        <v>0.0109658951106882</v>
      </c>
      <c r="E350" s="47" t="s">
        <v>114</v>
      </c>
      <c r="F350" s="48">
        <f t="shared" si="16"/>
        <v>0.0109658951106882</v>
      </c>
      <c r="I350" s="47" t="s">
        <v>195</v>
      </c>
    </row>
    <row r="351" spans="1:9">
      <c r="A351" s="47" t="s">
        <v>126</v>
      </c>
      <c r="B351" s="48">
        <v>0.00491654750473766</v>
      </c>
      <c r="C351" s="47" t="s">
        <v>127</v>
      </c>
      <c r="D351" s="37">
        <f t="shared" si="17"/>
        <v>0.0106197426102333</v>
      </c>
      <c r="E351" s="47" t="s">
        <v>114</v>
      </c>
      <c r="F351" s="48">
        <f t="shared" si="16"/>
        <v>0.0106197426102333</v>
      </c>
      <c r="I351" s="47" t="s">
        <v>195</v>
      </c>
    </row>
    <row r="352" spans="1:9">
      <c r="A352" s="47" t="s">
        <v>126</v>
      </c>
      <c r="B352" s="48">
        <v>0.0088663542747037</v>
      </c>
      <c r="C352" s="47" t="s">
        <v>127</v>
      </c>
      <c r="D352" s="37">
        <f t="shared" si="17"/>
        <v>0.01915132523336</v>
      </c>
      <c r="E352" s="47" t="s">
        <v>114</v>
      </c>
      <c r="F352" s="48">
        <f t="shared" si="16"/>
        <v>0.01915132523336</v>
      </c>
      <c r="I352" s="47" t="s">
        <v>195</v>
      </c>
    </row>
    <row r="353" spans="1:9">
      <c r="A353" s="47" t="s">
        <v>126</v>
      </c>
      <c r="B353" s="48">
        <v>0.0120248838997574</v>
      </c>
      <c r="C353" s="47" t="s">
        <v>127</v>
      </c>
      <c r="D353" s="37">
        <f t="shared" si="17"/>
        <v>0.025973749223476</v>
      </c>
      <c r="E353" s="47" t="s">
        <v>114</v>
      </c>
      <c r="F353" s="48">
        <f t="shared" si="16"/>
        <v>0.025973749223476</v>
      </c>
      <c r="I353" s="47" t="s">
        <v>195</v>
      </c>
    </row>
    <row r="354" spans="1:9">
      <c r="A354" s="47" t="s">
        <v>126</v>
      </c>
      <c r="B354" s="48">
        <v>0.0131692178837662</v>
      </c>
      <c r="C354" s="47" t="s">
        <v>127</v>
      </c>
      <c r="D354" s="37">
        <f t="shared" si="17"/>
        <v>0.028445510628935</v>
      </c>
      <c r="E354" s="47" t="s">
        <v>114</v>
      </c>
      <c r="F354" s="48">
        <f t="shared" si="16"/>
        <v>0.028445510628935</v>
      </c>
      <c r="I354" s="47" t="s">
        <v>195</v>
      </c>
    </row>
    <row r="355" spans="1:9">
      <c r="A355" s="47" t="s">
        <v>126</v>
      </c>
      <c r="B355" s="48">
        <v>0.0031075566771554</v>
      </c>
      <c r="C355" s="47" t="s">
        <v>127</v>
      </c>
      <c r="D355" s="37">
        <f t="shared" si="17"/>
        <v>0.00671232242265566</v>
      </c>
      <c r="E355" s="47" t="s">
        <v>114</v>
      </c>
      <c r="F355" s="48">
        <f t="shared" si="16"/>
        <v>0.00671232242265566</v>
      </c>
      <c r="I355" s="47" t="s">
        <v>195</v>
      </c>
    </row>
    <row r="356" spans="1:9">
      <c r="A356" s="47" t="s">
        <v>126</v>
      </c>
      <c r="B356" s="48">
        <v>0.00237852428779954</v>
      </c>
      <c r="C356" s="47" t="s">
        <v>127</v>
      </c>
      <c r="D356" s="37">
        <f t="shared" si="17"/>
        <v>0.00513761246164701</v>
      </c>
      <c r="E356" s="47" t="s">
        <v>114</v>
      </c>
      <c r="F356" s="48">
        <f t="shared" si="16"/>
        <v>0.00513761246164701</v>
      </c>
      <c r="I356" s="47" t="s">
        <v>195</v>
      </c>
    </row>
    <row r="357" spans="1:9">
      <c r="A357" s="47" t="s">
        <v>126</v>
      </c>
      <c r="B357" s="48">
        <v>0.00346059968846234</v>
      </c>
      <c r="C357" s="47" t="s">
        <v>127</v>
      </c>
      <c r="D357" s="37">
        <f t="shared" si="17"/>
        <v>0.00747489532707865</v>
      </c>
      <c r="E357" s="47" t="s">
        <v>114</v>
      </c>
      <c r="F357" s="48">
        <f t="shared" si="16"/>
        <v>0.00747489532707865</v>
      </c>
      <c r="I357" s="47" t="s">
        <v>195</v>
      </c>
    </row>
    <row r="358" spans="1:9">
      <c r="A358" s="47" t="s">
        <v>126</v>
      </c>
      <c r="B358" s="48">
        <v>0.058668496648742</v>
      </c>
      <c r="C358" s="47" t="s">
        <v>127</v>
      </c>
      <c r="D358" s="37">
        <f t="shared" si="17"/>
        <v>0.126723952761283</v>
      </c>
      <c r="E358" s="47" t="s">
        <v>114</v>
      </c>
      <c r="F358" s="48">
        <f t="shared" si="16"/>
        <v>0.126723952761283</v>
      </c>
      <c r="I358" s="47" t="s">
        <v>195</v>
      </c>
    </row>
    <row r="359" spans="1:9">
      <c r="A359" s="47" t="s">
        <v>126</v>
      </c>
      <c r="B359" s="48">
        <v>0.00477124801130155</v>
      </c>
      <c r="C359" s="47" t="s">
        <v>127</v>
      </c>
      <c r="D359" s="37">
        <f t="shared" si="17"/>
        <v>0.0103058957044113</v>
      </c>
      <c r="E359" s="47" t="s">
        <v>114</v>
      </c>
      <c r="F359" s="48">
        <f t="shared" si="16"/>
        <v>0.0103058957044113</v>
      </c>
      <c r="I359" s="47" t="s">
        <v>195</v>
      </c>
    </row>
    <row r="360" spans="1:9">
      <c r="A360" s="47" t="s">
        <v>126</v>
      </c>
      <c r="B360" s="48">
        <v>0.00822934327572423</v>
      </c>
      <c r="C360" s="47" t="s">
        <v>127</v>
      </c>
      <c r="D360" s="37">
        <f t="shared" si="17"/>
        <v>0.0177753814755643</v>
      </c>
      <c r="E360" s="47" t="s">
        <v>114</v>
      </c>
      <c r="F360" s="48">
        <f t="shared" si="16"/>
        <v>0.0177753814755643</v>
      </c>
      <c r="I360" s="47" t="s">
        <v>195</v>
      </c>
    </row>
    <row r="361" spans="1:9">
      <c r="A361" s="47" t="s">
        <v>126</v>
      </c>
      <c r="B361" s="48">
        <v>0.00710555387372485</v>
      </c>
      <c r="C361" s="47" t="s">
        <v>127</v>
      </c>
      <c r="D361" s="37">
        <f t="shared" si="17"/>
        <v>0.0153479963672457</v>
      </c>
      <c r="E361" s="47" t="s">
        <v>114</v>
      </c>
      <c r="F361" s="48">
        <f t="shared" si="16"/>
        <v>0.0153479963672457</v>
      </c>
      <c r="I361" s="47" t="s">
        <v>195</v>
      </c>
    </row>
    <row r="362" spans="1:9">
      <c r="A362" s="47" t="s">
        <v>126</v>
      </c>
      <c r="B362" s="48">
        <v>0.0117073984886142</v>
      </c>
      <c r="C362" s="47" t="s">
        <v>127</v>
      </c>
      <c r="D362" s="37">
        <f t="shared" si="17"/>
        <v>0.0252879807354067</v>
      </c>
      <c r="E362" s="47" t="s">
        <v>114</v>
      </c>
      <c r="F362" s="48">
        <f t="shared" si="16"/>
        <v>0.0252879807354067</v>
      </c>
      <c r="I362" s="47" t="s">
        <v>195</v>
      </c>
    </row>
    <row r="363" spans="1:9">
      <c r="A363" s="47" t="s">
        <v>126</v>
      </c>
      <c r="B363" s="48">
        <v>0.0262796148860467</v>
      </c>
      <c r="C363" s="47" t="s">
        <v>127</v>
      </c>
      <c r="D363" s="37">
        <f t="shared" si="17"/>
        <v>0.0567639681538609</v>
      </c>
      <c r="E363" s="47" t="s">
        <v>114</v>
      </c>
      <c r="F363" s="48">
        <f t="shared" si="16"/>
        <v>0.0567639681538609</v>
      </c>
      <c r="I363" s="47" t="s">
        <v>195</v>
      </c>
    </row>
    <row r="364" spans="1:9">
      <c r="A364" s="47" t="s">
        <v>126</v>
      </c>
      <c r="B364" s="48">
        <v>0.00554329577828868</v>
      </c>
      <c r="C364" s="47" t="s">
        <v>127</v>
      </c>
      <c r="D364" s="37">
        <f t="shared" si="17"/>
        <v>0.0119735188811035</v>
      </c>
      <c r="E364" s="47" t="s">
        <v>114</v>
      </c>
      <c r="F364" s="48">
        <f t="shared" si="16"/>
        <v>0.0119735188811035</v>
      </c>
      <c r="I364" s="47" t="s">
        <v>195</v>
      </c>
    </row>
    <row r="365" spans="1:9">
      <c r="A365" s="47" t="s">
        <v>126</v>
      </c>
      <c r="B365" s="48">
        <v>0.00524357051215067</v>
      </c>
      <c r="C365" s="47" t="s">
        <v>127</v>
      </c>
      <c r="D365" s="37">
        <f t="shared" si="17"/>
        <v>0.0113261123062454</v>
      </c>
      <c r="E365" s="47" t="s">
        <v>114</v>
      </c>
      <c r="F365" s="48">
        <f t="shared" si="16"/>
        <v>0.0113261123062454</v>
      </c>
      <c r="I365" s="47" t="s">
        <v>195</v>
      </c>
    </row>
    <row r="366" spans="1:9">
      <c r="A366" s="47" t="s">
        <v>126</v>
      </c>
      <c r="B366" s="48">
        <v>0.1</v>
      </c>
      <c r="C366" s="47" t="s">
        <v>196</v>
      </c>
      <c r="D366" s="37">
        <f>B366/1000</f>
        <v>0.0001</v>
      </c>
      <c r="E366" s="47" t="s">
        <v>114</v>
      </c>
      <c r="F366" s="48">
        <f t="shared" si="16"/>
        <v>0.0001</v>
      </c>
      <c r="I366" s="47" t="s">
        <v>197</v>
      </c>
    </row>
    <row r="367" spans="1:9">
      <c r="A367" s="47" t="s">
        <v>108</v>
      </c>
      <c r="B367" s="48">
        <v>0.01</v>
      </c>
      <c r="C367" s="47" t="s">
        <v>186</v>
      </c>
      <c r="D367" s="37">
        <f>B367*16/12*2.4/100</f>
        <v>0.00032</v>
      </c>
      <c r="E367" s="47" t="s">
        <v>114</v>
      </c>
      <c r="F367" s="48">
        <f t="shared" si="16"/>
        <v>0.00032</v>
      </c>
      <c r="I367" s="47" t="s">
        <v>198</v>
      </c>
    </row>
    <row r="368" spans="1:9">
      <c r="A368" s="47" t="s">
        <v>184</v>
      </c>
      <c r="B368" s="48">
        <v>0.004</v>
      </c>
      <c r="C368" s="47" t="s">
        <v>186</v>
      </c>
      <c r="D368" s="37">
        <f>B368*16/12*2.4/100</f>
        <v>0.000128</v>
      </c>
      <c r="E368" s="47" t="s">
        <v>114</v>
      </c>
      <c r="F368" s="48">
        <f t="shared" si="16"/>
        <v>0.000128</v>
      </c>
      <c r="I368" s="47" t="s">
        <v>198</v>
      </c>
    </row>
    <row r="369" spans="1:9">
      <c r="A369" s="47" t="s">
        <v>108</v>
      </c>
      <c r="B369" s="48">
        <v>0.053</v>
      </c>
      <c r="C369" s="47" t="s">
        <v>199</v>
      </c>
      <c r="D369" s="37">
        <f>B369*2.4</f>
        <v>0.1272</v>
      </c>
      <c r="E369" s="47" t="s">
        <v>114</v>
      </c>
      <c r="F369" s="48">
        <f t="shared" si="16"/>
        <v>0.1272</v>
      </c>
      <c r="I369" s="11" t="s">
        <v>200</v>
      </c>
    </row>
    <row r="370" spans="1:9">
      <c r="A370" s="47" t="s">
        <v>108</v>
      </c>
      <c r="B370" s="48">
        <v>0.012</v>
      </c>
      <c r="C370" s="47" t="s">
        <v>199</v>
      </c>
      <c r="D370" s="37">
        <f>B370*2.4</f>
        <v>0.0288</v>
      </c>
      <c r="E370" s="47" t="s">
        <v>114</v>
      </c>
      <c r="F370" s="48">
        <f t="shared" si="16"/>
        <v>0.0288</v>
      </c>
      <c r="I370" s="11" t="s">
        <v>200</v>
      </c>
    </row>
    <row r="371" spans="1:9">
      <c r="A371" s="47" t="s">
        <v>108</v>
      </c>
      <c r="B371" s="48">
        <v>0.008</v>
      </c>
      <c r="C371" s="47" t="s">
        <v>199</v>
      </c>
      <c r="D371" s="37">
        <f>B371*2.4</f>
        <v>0.0192</v>
      </c>
      <c r="E371" s="47" t="s">
        <v>114</v>
      </c>
      <c r="F371" s="48">
        <f t="shared" si="16"/>
        <v>0.0192</v>
      </c>
      <c r="I371" s="11" t="s">
        <v>200</v>
      </c>
    </row>
    <row r="372" s="47" customFormat="1" spans="1:9">
      <c r="A372" s="47" t="s">
        <v>137</v>
      </c>
      <c r="B372" s="48">
        <v>0.0087</v>
      </c>
      <c r="C372" s="47" t="s">
        <v>199</v>
      </c>
      <c r="D372" s="37">
        <f>B372*2.4</f>
        <v>0.02088</v>
      </c>
      <c r="E372" s="47" t="s">
        <v>114</v>
      </c>
      <c r="F372" s="48">
        <f t="shared" si="16"/>
        <v>0.02088</v>
      </c>
      <c r="G372" s="48"/>
      <c r="I372" s="11" t="s">
        <v>200</v>
      </c>
    </row>
    <row r="373" s="47" customFormat="1" spans="1:9">
      <c r="A373" s="47" t="s">
        <v>154</v>
      </c>
      <c r="B373" s="48">
        <v>1.25</v>
      </c>
      <c r="C373" s="47" t="s">
        <v>180</v>
      </c>
      <c r="D373" s="37">
        <f>B373/100*0.9*2.4</f>
        <v>0.027</v>
      </c>
      <c r="E373" s="47" t="s">
        <v>110</v>
      </c>
      <c r="F373" s="48">
        <f>D373/0.417</f>
        <v>0.0647482014388489</v>
      </c>
      <c r="G373" s="48"/>
      <c r="I373" s="47" t="s">
        <v>201</v>
      </c>
    </row>
    <row r="374" s="47" customFormat="1" spans="1:9">
      <c r="A374" s="47" t="s">
        <v>184</v>
      </c>
      <c r="B374" s="48">
        <v>1.25</v>
      </c>
      <c r="C374" s="47" t="s">
        <v>180</v>
      </c>
      <c r="D374" s="37">
        <f>B374/100*0.9*2.4</f>
        <v>0.027</v>
      </c>
      <c r="E374" s="47" t="s">
        <v>110</v>
      </c>
      <c r="F374" s="48">
        <f>D374/0.417</f>
        <v>0.0647482014388489</v>
      </c>
      <c r="G374" s="48"/>
      <c r="I374" s="47" t="s">
        <v>201</v>
      </c>
    </row>
    <row r="375" s="47" customFormat="1" spans="1:9">
      <c r="A375" s="47" t="s">
        <v>184</v>
      </c>
      <c r="B375" s="48">
        <v>1.25</v>
      </c>
      <c r="C375" s="47" t="s">
        <v>180</v>
      </c>
      <c r="D375" s="37">
        <f>B375/100*0.9*2.4</f>
        <v>0.027</v>
      </c>
      <c r="E375" s="47" t="s">
        <v>110</v>
      </c>
      <c r="F375" s="48">
        <f>D375/0.417</f>
        <v>0.0647482014388489</v>
      </c>
      <c r="G375" s="48"/>
      <c r="I375" s="47" t="s">
        <v>201</v>
      </c>
    </row>
    <row r="376" s="47" customFormat="1" spans="1:9">
      <c r="A376" s="47" t="s">
        <v>126</v>
      </c>
      <c r="B376" s="48">
        <f>(4976+8036)/2+(253+414)/2+(3843+9435)/2</f>
        <v>13478.5</v>
      </c>
      <c r="C376" s="47" t="s">
        <v>202</v>
      </c>
      <c r="D376" s="37">
        <f>B376*1000/(300000*200*365)*2.4</f>
        <v>0.00147709589041096</v>
      </c>
      <c r="E376" s="47" t="s">
        <v>114</v>
      </c>
      <c r="F376" s="48">
        <f t="shared" ref="F376:F383" si="18">D376</f>
        <v>0.00147709589041096</v>
      </c>
      <c r="G376" s="48">
        <f>((2.13+3.44)/2+(0.11+0.18)/2+(1.12+2.75)/2)/((4.34+6.82)/2+(6.19+18.87)/2+(2.13+3.44)/2+(0.11+0.18)/2+(1.12+2.75)/2+(0.06+0.11)/2+(1.78+3.02)/2+(0.06+0.12)/2)</f>
        <v>0.19041095890411</v>
      </c>
      <c r="H376" s="47" t="s">
        <v>203</v>
      </c>
      <c r="I376" s="47" t="s">
        <v>204</v>
      </c>
    </row>
    <row r="377" s="47" customFormat="1" spans="1:9">
      <c r="A377" s="47" t="s">
        <v>117</v>
      </c>
      <c r="B377" s="48">
        <v>0.072</v>
      </c>
      <c r="C377" s="47" t="s">
        <v>109</v>
      </c>
      <c r="D377" s="37">
        <f>B377/100*2.4</f>
        <v>0.001728</v>
      </c>
      <c r="E377" s="47" t="s">
        <v>114</v>
      </c>
      <c r="F377" s="48">
        <f t="shared" si="18"/>
        <v>0.001728</v>
      </c>
      <c r="G377" s="48"/>
      <c r="I377" s="47" t="s">
        <v>205</v>
      </c>
    </row>
    <row r="378" s="47" customFormat="1" spans="1:9">
      <c r="A378" s="47" t="s">
        <v>126</v>
      </c>
      <c r="B378" s="48">
        <v>0.9</v>
      </c>
      <c r="C378" s="47" t="s">
        <v>206</v>
      </c>
      <c r="D378" s="37">
        <f>B378/1000*2.4*0.9</f>
        <v>0.001944</v>
      </c>
      <c r="E378" s="47" t="s">
        <v>114</v>
      </c>
      <c r="F378" s="48">
        <f t="shared" si="18"/>
        <v>0.001944</v>
      </c>
      <c r="G378" s="48"/>
      <c r="I378" s="47" t="s">
        <v>207</v>
      </c>
    </row>
    <row r="379" s="47" customFormat="1" spans="1:9">
      <c r="A379" s="47" t="s">
        <v>126</v>
      </c>
      <c r="B379" s="48">
        <v>1.4</v>
      </c>
      <c r="C379" s="47" t="s">
        <v>206</v>
      </c>
      <c r="D379" s="37">
        <f>B379/1000*2.4*0.9</f>
        <v>0.003024</v>
      </c>
      <c r="E379" s="47" t="s">
        <v>114</v>
      </c>
      <c r="F379" s="48">
        <f t="shared" si="18"/>
        <v>0.003024</v>
      </c>
      <c r="G379" s="48"/>
      <c r="I379" s="47" t="s">
        <v>207</v>
      </c>
    </row>
    <row r="380" s="47" customFormat="1" spans="1:9">
      <c r="A380" s="47" t="s">
        <v>154</v>
      </c>
      <c r="B380" s="48">
        <v>3.3</v>
      </c>
      <c r="C380" s="47" t="s">
        <v>206</v>
      </c>
      <c r="D380" s="37">
        <f>B380/1000*2.4*0.9</f>
        <v>0.007128</v>
      </c>
      <c r="E380" s="47" t="s">
        <v>114</v>
      </c>
      <c r="F380" s="48">
        <f t="shared" si="18"/>
        <v>0.007128</v>
      </c>
      <c r="G380" s="48"/>
      <c r="I380" s="47" t="s">
        <v>207</v>
      </c>
    </row>
    <row r="381" s="47" customFormat="1" spans="1:9">
      <c r="A381" s="47" t="s">
        <v>126</v>
      </c>
      <c r="B381" s="48">
        <v>13.4</v>
      </c>
      <c r="C381" s="47" t="s">
        <v>206</v>
      </c>
      <c r="D381" s="37">
        <f>B381*2.4/1000*325.7/(325.7-15.2)</f>
        <v>0.0337343381642512</v>
      </c>
      <c r="E381" s="47" t="s">
        <v>114</v>
      </c>
      <c r="F381" s="48">
        <f t="shared" si="18"/>
        <v>0.0337343381642512</v>
      </c>
      <c r="G381" s="48">
        <v>0.642</v>
      </c>
      <c r="I381" s="47" t="s">
        <v>208</v>
      </c>
    </row>
    <row r="382" s="47" customFormat="1" spans="1:9">
      <c r="A382" s="47" t="s">
        <v>126</v>
      </c>
      <c r="B382" s="48">
        <v>1.5</v>
      </c>
      <c r="C382" s="47" t="s">
        <v>206</v>
      </c>
      <c r="D382" s="37">
        <f>B382*2.4/1000*239.2/(239.2-11.48)</f>
        <v>0.00378148603548217</v>
      </c>
      <c r="E382" s="47" t="s">
        <v>114</v>
      </c>
      <c r="F382" s="48">
        <f t="shared" si="18"/>
        <v>0.00378148603548217</v>
      </c>
      <c r="G382" s="48">
        <v>0.399</v>
      </c>
      <c r="I382" s="47" t="s">
        <v>208</v>
      </c>
    </row>
    <row r="383" s="47" customFormat="1" spans="1:9">
      <c r="A383" s="47" t="s">
        <v>126</v>
      </c>
      <c r="B383" s="48">
        <f>(14095+22193)/2</f>
        <v>18144</v>
      </c>
      <c r="C383" s="47" t="s">
        <v>119</v>
      </c>
      <c r="D383" s="48">
        <f>B383*1000/(80000*220*365)*2.4</f>
        <v>0.0067785803237858</v>
      </c>
      <c r="E383" s="47" t="s">
        <v>114</v>
      </c>
      <c r="F383" s="48">
        <f t="shared" si="18"/>
        <v>0.0067785803237858</v>
      </c>
      <c r="G383" s="48"/>
      <c r="H383" s="47" t="s">
        <v>209</v>
      </c>
      <c r="I383" s="47" t="s">
        <v>210</v>
      </c>
    </row>
  </sheetData>
  <hyperlinks>
    <hyperlink ref="I5" r:id="rId1" display="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 tooltip="https://doi.org/10.2175/193864710798181584"/>
    <hyperlink ref="I6" r:id="rId1" display="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 tooltip="https://doi.org/10.2175/193864710798181584"/>
    <hyperlink ref="I7" r:id="rId1" display="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 tooltip="https://doi.org/10.2175/193864710798181584"/>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74"/>
  <sheetViews>
    <sheetView zoomScale="70" zoomScaleNormal="70" workbookViewId="0">
      <selection activeCell="A1" sqref="$A1:$XFD1"/>
    </sheetView>
  </sheetViews>
  <sheetFormatPr defaultColWidth="9" defaultRowHeight="15"/>
  <cols>
    <col min="1" max="1" width="13.125" style="36" customWidth="1"/>
    <col min="2" max="2" width="4.125" style="36" customWidth="1"/>
    <col min="3" max="3" width="10.125" style="36" customWidth="1"/>
    <col min="4" max="4" width="26.875" style="36" customWidth="1"/>
    <col min="5" max="5" width="11.125" style="37" customWidth="1"/>
    <col min="6" max="6" width="13.25" style="37" customWidth="1"/>
    <col min="7" max="7" width="12.625" style="37" customWidth="1"/>
    <col min="8" max="8" width="91.125" style="36" customWidth="1"/>
    <col min="9" max="9" width="255.625" style="36" customWidth="1"/>
    <col min="10" max="16384" width="9" style="35"/>
  </cols>
  <sheetData>
    <row r="1" spans="1:9">
      <c r="A1" s="38" t="s">
        <v>41</v>
      </c>
      <c r="B1" s="39" t="s">
        <v>60</v>
      </c>
      <c r="C1" s="39" t="s">
        <v>61</v>
      </c>
      <c r="D1" s="39" t="s">
        <v>63</v>
      </c>
      <c r="E1" s="40" t="s">
        <v>65</v>
      </c>
      <c r="F1" s="40" t="s">
        <v>67</v>
      </c>
      <c r="G1" s="41" t="s">
        <v>53</v>
      </c>
      <c r="H1" s="39" t="s">
        <v>55</v>
      </c>
      <c r="I1" s="39" t="s">
        <v>57</v>
      </c>
    </row>
    <row r="2" spans="1:9">
      <c r="A2" s="36" t="s">
        <v>117</v>
      </c>
      <c r="B2" s="36" t="s">
        <v>110</v>
      </c>
      <c r="C2" s="36">
        <v>0.036</v>
      </c>
      <c r="D2" s="36" t="s">
        <v>211</v>
      </c>
      <c r="E2" s="37">
        <f t="shared" ref="E2:E19" si="0">C2</f>
        <v>0.036</v>
      </c>
      <c r="I2" s="36" t="s">
        <v>111</v>
      </c>
    </row>
    <row r="3" spans="1:9">
      <c r="A3" s="36" t="s">
        <v>137</v>
      </c>
      <c r="B3" s="36" t="s">
        <v>110</v>
      </c>
      <c r="C3" s="36">
        <v>0.16</v>
      </c>
      <c r="D3" s="36" t="s">
        <v>212</v>
      </c>
      <c r="E3" s="37">
        <f t="shared" si="0"/>
        <v>0.16</v>
      </c>
      <c r="I3" s="36" t="s">
        <v>213</v>
      </c>
    </row>
    <row r="4" spans="1:9">
      <c r="A4" s="36" t="s">
        <v>137</v>
      </c>
      <c r="B4" s="36" t="s">
        <v>110</v>
      </c>
      <c r="C4" s="36">
        <v>0.6</v>
      </c>
      <c r="D4" s="36" t="s">
        <v>212</v>
      </c>
      <c r="E4" s="37">
        <f t="shared" si="0"/>
        <v>0.6</v>
      </c>
      <c r="I4" s="36" t="s">
        <v>213</v>
      </c>
    </row>
    <row r="5" spans="1:9">
      <c r="A5" s="36" t="s">
        <v>137</v>
      </c>
      <c r="B5" s="36" t="s">
        <v>110</v>
      </c>
      <c r="C5" s="36">
        <v>0.03</v>
      </c>
      <c r="D5" s="36" t="s">
        <v>212</v>
      </c>
      <c r="E5" s="37">
        <f t="shared" si="0"/>
        <v>0.03</v>
      </c>
      <c r="I5" s="36" t="s">
        <v>213</v>
      </c>
    </row>
    <row r="6" spans="1:9">
      <c r="A6" s="36" t="s">
        <v>137</v>
      </c>
      <c r="B6" s="36" t="s">
        <v>110</v>
      </c>
      <c r="C6" s="36">
        <v>0.01</v>
      </c>
      <c r="D6" s="36" t="s">
        <v>212</v>
      </c>
      <c r="E6" s="37">
        <f t="shared" si="0"/>
        <v>0.01</v>
      </c>
      <c r="I6" s="36" t="s">
        <v>213</v>
      </c>
    </row>
    <row r="7" spans="1:9">
      <c r="A7" s="36" t="s">
        <v>184</v>
      </c>
      <c r="B7" s="36" t="s">
        <v>110</v>
      </c>
      <c r="C7" s="36">
        <v>0.07</v>
      </c>
      <c r="D7" s="36" t="s">
        <v>212</v>
      </c>
      <c r="E7" s="37">
        <f t="shared" si="0"/>
        <v>0.07</v>
      </c>
      <c r="I7" s="36" t="s">
        <v>213</v>
      </c>
    </row>
    <row r="8" spans="1:9">
      <c r="A8" s="36" t="s">
        <v>184</v>
      </c>
      <c r="B8" s="36" t="s">
        <v>110</v>
      </c>
      <c r="C8" s="36">
        <v>0.06</v>
      </c>
      <c r="D8" s="36" t="s">
        <v>212</v>
      </c>
      <c r="E8" s="37">
        <f t="shared" si="0"/>
        <v>0.06</v>
      </c>
      <c r="I8" s="36" t="s">
        <v>213</v>
      </c>
    </row>
    <row r="9" spans="1:9">
      <c r="A9" s="36" t="s">
        <v>154</v>
      </c>
      <c r="B9" s="36" t="s">
        <v>110</v>
      </c>
      <c r="C9" s="36">
        <v>0.03</v>
      </c>
      <c r="D9" s="36" t="s">
        <v>212</v>
      </c>
      <c r="E9" s="37">
        <f t="shared" si="0"/>
        <v>0.03</v>
      </c>
      <c r="I9" s="36" t="s">
        <v>213</v>
      </c>
    </row>
    <row r="10" spans="1:9">
      <c r="A10" s="36" t="s">
        <v>108</v>
      </c>
      <c r="B10" s="36" t="s">
        <v>110</v>
      </c>
      <c r="C10" s="36">
        <v>0.4</v>
      </c>
      <c r="D10" s="36" t="s">
        <v>212</v>
      </c>
      <c r="E10" s="37">
        <f t="shared" si="0"/>
        <v>0.4</v>
      </c>
      <c r="I10" s="36" t="s">
        <v>213</v>
      </c>
    </row>
    <row r="11" spans="1:9">
      <c r="A11" s="36" t="s">
        <v>108</v>
      </c>
      <c r="B11" s="36" t="s">
        <v>110</v>
      </c>
      <c r="C11" s="36">
        <v>0.41</v>
      </c>
      <c r="D11" s="36" t="s">
        <v>212</v>
      </c>
      <c r="E11" s="37">
        <f t="shared" si="0"/>
        <v>0.41</v>
      </c>
      <c r="I11" s="36" t="s">
        <v>213</v>
      </c>
    </row>
    <row r="12" spans="1:9">
      <c r="A12" s="36" t="s">
        <v>108</v>
      </c>
      <c r="B12" s="36" t="s">
        <v>110</v>
      </c>
      <c r="C12" s="36">
        <v>1.5</v>
      </c>
      <c r="D12" s="36" t="s">
        <v>212</v>
      </c>
      <c r="E12" s="37">
        <f t="shared" si="0"/>
        <v>1.5</v>
      </c>
      <c r="I12" s="36" t="s">
        <v>213</v>
      </c>
    </row>
    <row r="13" spans="1:9">
      <c r="A13" s="36" t="s">
        <v>108</v>
      </c>
      <c r="B13" s="36" t="s">
        <v>110</v>
      </c>
      <c r="C13" s="36">
        <v>0.09</v>
      </c>
      <c r="D13" s="36" t="s">
        <v>212</v>
      </c>
      <c r="E13" s="37">
        <f t="shared" si="0"/>
        <v>0.09</v>
      </c>
      <c r="I13" s="36" t="s">
        <v>213</v>
      </c>
    </row>
    <row r="14" spans="1:9">
      <c r="A14" s="36" t="s">
        <v>108</v>
      </c>
      <c r="B14" s="36" t="s">
        <v>110</v>
      </c>
      <c r="C14" s="36">
        <v>0.18</v>
      </c>
      <c r="D14" s="36" t="s">
        <v>212</v>
      </c>
      <c r="E14" s="37">
        <f t="shared" si="0"/>
        <v>0.18</v>
      </c>
      <c r="I14" s="36" t="s">
        <v>213</v>
      </c>
    </row>
    <row r="15" spans="1:9">
      <c r="A15" s="36" t="s">
        <v>108</v>
      </c>
      <c r="B15" s="36" t="s">
        <v>110</v>
      </c>
      <c r="C15" s="36">
        <v>1.8</v>
      </c>
      <c r="D15" s="36" t="s">
        <v>212</v>
      </c>
      <c r="E15" s="37">
        <f t="shared" si="0"/>
        <v>1.8</v>
      </c>
      <c r="I15" s="36" t="s">
        <v>213</v>
      </c>
    </row>
    <row r="16" spans="1:9">
      <c r="A16" s="36" t="s">
        <v>137</v>
      </c>
      <c r="B16" s="36" t="s">
        <v>110</v>
      </c>
      <c r="C16" s="36">
        <v>1.6</v>
      </c>
      <c r="D16" s="36" t="s">
        <v>212</v>
      </c>
      <c r="E16" s="37">
        <f t="shared" si="0"/>
        <v>1.6</v>
      </c>
      <c r="I16" s="36" t="s">
        <v>213</v>
      </c>
    </row>
    <row r="17" spans="1:9">
      <c r="A17" s="36" t="s">
        <v>137</v>
      </c>
      <c r="B17" s="36" t="s">
        <v>110</v>
      </c>
      <c r="C17" s="36">
        <v>0.62</v>
      </c>
      <c r="D17" s="36" t="s">
        <v>212</v>
      </c>
      <c r="E17" s="37">
        <f t="shared" si="0"/>
        <v>0.62</v>
      </c>
      <c r="I17" s="36" t="s">
        <v>213</v>
      </c>
    </row>
    <row r="18" spans="1:9">
      <c r="A18" s="36" t="s">
        <v>137</v>
      </c>
      <c r="B18" s="36" t="s">
        <v>110</v>
      </c>
      <c r="C18" s="36">
        <v>0.62</v>
      </c>
      <c r="D18" s="36" t="s">
        <v>212</v>
      </c>
      <c r="E18" s="37">
        <f t="shared" si="0"/>
        <v>0.62</v>
      </c>
      <c r="I18" s="36" t="s">
        <v>213</v>
      </c>
    </row>
    <row r="19" spans="1:9">
      <c r="A19" s="36" t="s">
        <v>137</v>
      </c>
      <c r="B19" s="36" t="s">
        <v>110</v>
      </c>
      <c r="C19" s="36">
        <v>0.05</v>
      </c>
      <c r="D19" s="36" t="s">
        <v>212</v>
      </c>
      <c r="E19" s="37">
        <f t="shared" si="0"/>
        <v>0.05</v>
      </c>
      <c r="I19" s="36" t="s">
        <v>213</v>
      </c>
    </row>
    <row r="20" spans="1:9">
      <c r="A20" s="36" t="s">
        <v>126</v>
      </c>
      <c r="B20" s="36" t="s">
        <v>110</v>
      </c>
      <c r="E20" s="37">
        <v>0.68649885583524</v>
      </c>
      <c r="H20" s="36" t="s">
        <v>214</v>
      </c>
      <c r="I20" s="36" t="s">
        <v>215</v>
      </c>
    </row>
    <row r="21" spans="1:9">
      <c r="A21" s="36" t="s">
        <v>126</v>
      </c>
      <c r="B21" s="36" t="s">
        <v>110</v>
      </c>
      <c r="E21" s="37">
        <v>0.0497645072425131</v>
      </c>
      <c r="G21" s="37">
        <v>0.871875</v>
      </c>
      <c r="H21" s="36" t="s">
        <v>214</v>
      </c>
      <c r="I21" s="36" t="s">
        <v>216</v>
      </c>
    </row>
    <row r="22" spans="1:9">
      <c r="A22" s="36" t="s">
        <v>126</v>
      </c>
      <c r="B22" s="36" t="s">
        <v>110</v>
      </c>
      <c r="E22" s="37">
        <v>0.0601839509464143</v>
      </c>
      <c r="G22" s="37">
        <v>0.909560723514212</v>
      </c>
      <c r="H22" s="36" t="s">
        <v>214</v>
      </c>
      <c r="I22" s="36" t="s">
        <v>216</v>
      </c>
    </row>
    <row r="23" spans="1:9">
      <c r="A23" s="36" t="s">
        <v>126</v>
      </c>
      <c r="B23" s="36" t="s">
        <v>110</v>
      </c>
      <c r="E23" s="37">
        <v>0.0769794721407625</v>
      </c>
      <c r="G23" s="37">
        <v>0.933333333333333</v>
      </c>
      <c r="H23" s="36" t="s">
        <v>214</v>
      </c>
      <c r="I23" s="36" t="s">
        <v>216</v>
      </c>
    </row>
    <row r="24" spans="1:9">
      <c r="A24" s="36" t="s">
        <v>112</v>
      </c>
      <c r="B24" s="36" t="s">
        <v>110</v>
      </c>
      <c r="C24" s="36">
        <v>0.66</v>
      </c>
      <c r="D24" s="36" t="s">
        <v>217</v>
      </c>
      <c r="E24" s="37">
        <f t="shared" ref="E24:E35" si="1">F24*C24</f>
        <v>0.627</v>
      </c>
      <c r="F24" s="37">
        <v>0.95</v>
      </c>
      <c r="H24" s="36" t="s">
        <v>218</v>
      </c>
      <c r="I24" s="36" t="s">
        <v>219</v>
      </c>
    </row>
    <row r="25" spans="1:9">
      <c r="A25" s="36" t="s">
        <v>112</v>
      </c>
      <c r="B25" s="36" t="s">
        <v>110</v>
      </c>
      <c r="C25" s="36">
        <v>0.41</v>
      </c>
      <c r="D25" s="36" t="s">
        <v>217</v>
      </c>
      <c r="E25" s="37">
        <f t="shared" si="1"/>
        <v>0.3895</v>
      </c>
      <c r="F25" s="37">
        <v>0.95</v>
      </c>
      <c r="I25" s="36" t="s">
        <v>219</v>
      </c>
    </row>
    <row r="26" spans="1:9">
      <c r="A26" s="36" t="s">
        <v>112</v>
      </c>
      <c r="B26" s="36" t="s">
        <v>110</v>
      </c>
      <c r="C26" s="36">
        <v>0.59</v>
      </c>
      <c r="D26" s="36" t="s">
        <v>217</v>
      </c>
      <c r="E26" s="37">
        <f t="shared" si="1"/>
        <v>0.5605</v>
      </c>
      <c r="F26" s="37">
        <v>0.95</v>
      </c>
      <c r="I26" s="36" t="s">
        <v>219</v>
      </c>
    </row>
    <row r="27" spans="1:9">
      <c r="A27" s="36" t="s">
        <v>112</v>
      </c>
      <c r="B27" s="36" t="s">
        <v>110</v>
      </c>
      <c r="C27" s="36">
        <v>0.4</v>
      </c>
      <c r="D27" s="36" t="s">
        <v>217</v>
      </c>
      <c r="E27" s="37">
        <f t="shared" si="1"/>
        <v>0.38</v>
      </c>
      <c r="F27" s="37">
        <v>0.95</v>
      </c>
      <c r="I27" s="36" t="s">
        <v>219</v>
      </c>
    </row>
    <row r="28" spans="1:9">
      <c r="A28" s="36" t="s">
        <v>112</v>
      </c>
      <c r="B28" s="36" t="s">
        <v>110</v>
      </c>
      <c r="C28" s="36">
        <v>1.15</v>
      </c>
      <c r="D28" s="36" t="s">
        <v>217</v>
      </c>
      <c r="E28" s="37">
        <f t="shared" si="1"/>
        <v>1.0925</v>
      </c>
      <c r="F28" s="37">
        <v>0.95</v>
      </c>
      <c r="I28" s="36" t="s">
        <v>219</v>
      </c>
    </row>
    <row r="29" spans="1:9">
      <c r="A29" s="36" t="s">
        <v>112</v>
      </c>
      <c r="B29" s="36" t="s">
        <v>110</v>
      </c>
      <c r="C29" s="36">
        <v>0.36</v>
      </c>
      <c r="D29" s="36" t="s">
        <v>217</v>
      </c>
      <c r="E29" s="37">
        <f t="shared" si="1"/>
        <v>0.342</v>
      </c>
      <c r="F29" s="37">
        <v>0.95</v>
      </c>
      <c r="I29" s="36" t="s">
        <v>219</v>
      </c>
    </row>
    <row r="30" spans="1:9">
      <c r="A30" s="36" t="s">
        <v>112</v>
      </c>
      <c r="B30" s="36" t="s">
        <v>110</v>
      </c>
      <c r="C30" s="36">
        <v>2.68</v>
      </c>
      <c r="D30" s="36" t="s">
        <v>217</v>
      </c>
      <c r="E30" s="37">
        <f t="shared" si="1"/>
        <v>2.546</v>
      </c>
      <c r="F30" s="37">
        <v>0.95</v>
      </c>
      <c r="I30" s="36" t="s">
        <v>219</v>
      </c>
    </row>
    <row r="31" spans="1:9">
      <c r="A31" s="36" t="s">
        <v>112</v>
      </c>
      <c r="B31" s="36" t="s">
        <v>110</v>
      </c>
      <c r="C31" s="36">
        <v>1.18</v>
      </c>
      <c r="D31" s="36" t="s">
        <v>217</v>
      </c>
      <c r="E31" s="37">
        <f t="shared" si="1"/>
        <v>1.121</v>
      </c>
      <c r="F31" s="37">
        <v>0.95</v>
      </c>
      <c r="I31" s="36" t="s">
        <v>219</v>
      </c>
    </row>
    <row r="32" spans="1:9">
      <c r="A32" s="36" t="s">
        <v>112</v>
      </c>
      <c r="B32" s="36" t="s">
        <v>110</v>
      </c>
      <c r="C32" s="36">
        <v>1.14</v>
      </c>
      <c r="D32" s="36" t="s">
        <v>217</v>
      </c>
      <c r="E32" s="37">
        <f t="shared" si="1"/>
        <v>1.083</v>
      </c>
      <c r="F32" s="37">
        <v>0.95</v>
      </c>
      <c r="I32" s="36" t="s">
        <v>219</v>
      </c>
    </row>
    <row r="33" spans="1:9">
      <c r="A33" s="36" t="s">
        <v>112</v>
      </c>
      <c r="B33" s="36" t="s">
        <v>110</v>
      </c>
      <c r="C33" s="36">
        <v>0.25</v>
      </c>
      <c r="D33" s="36" t="s">
        <v>217</v>
      </c>
      <c r="E33" s="37">
        <f t="shared" si="1"/>
        <v>0.2375</v>
      </c>
      <c r="F33" s="37">
        <v>0.95</v>
      </c>
      <c r="I33" s="36" t="s">
        <v>219</v>
      </c>
    </row>
    <row r="34" spans="1:9">
      <c r="A34" s="36" t="s">
        <v>112</v>
      </c>
      <c r="B34" s="36" t="s">
        <v>110</v>
      </c>
      <c r="C34" s="36">
        <v>0.05</v>
      </c>
      <c r="D34" s="36" t="s">
        <v>217</v>
      </c>
      <c r="E34" s="37">
        <f t="shared" si="1"/>
        <v>0.0475</v>
      </c>
      <c r="F34" s="37">
        <v>0.95</v>
      </c>
      <c r="I34" s="36" t="s">
        <v>219</v>
      </c>
    </row>
    <row r="35" spans="1:9">
      <c r="A35" s="36" t="s">
        <v>112</v>
      </c>
      <c r="B35" s="36" t="s">
        <v>110</v>
      </c>
      <c r="C35" s="36">
        <v>0.14</v>
      </c>
      <c r="D35" s="36" t="s">
        <v>217</v>
      </c>
      <c r="E35" s="37">
        <f t="shared" si="1"/>
        <v>0.133</v>
      </c>
      <c r="F35" s="37">
        <v>0.95</v>
      </c>
      <c r="I35" s="36" t="s">
        <v>219</v>
      </c>
    </row>
    <row r="36" spans="1:9">
      <c r="A36" s="36" t="s">
        <v>137</v>
      </c>
      <c r="B36" s="36" t="s">
        <v>110</v>
      </c>
      <c r="C36" s="36">
        <v>0.062</v>
      </c>
      <c r="D36" s="36" t="s">
        <v>220</v>
      </c>
      <c r="E36" s="37">
        <f>C36*28/44</f>
        <v>0.0394545454545455</v>
      </c>
      <c r="I36" s="36" t="s">
        <v>221</v>
      </c>
    </row>
    <row r="37" spans="1:9">
      <c r="A37" s="36" t="s">
        <v>117</v>
      </c>
      <c r="B37" s="36" t="s">
        <v>114</v>
      </c>
      <c r="E37" s="37">
        <v>0.855034045428557</v>
      </c>
      <c r="G37" s="37">
        <v>0.997163120567376</v>
      </c>
      <c r="H37" s="36" t="s">
        <v>214</v>
      </c>
      <c r="I37" s="36" t="s">
        <v>116</v>
      </c>
    </row>
    <row r="38" spans="1:9">
      <c r="A38" s="36" t="s">
        <v>112</v>
      </c>
      <c r="B38" s="36" t="s">
        <v>114</v>
      </c>
      <c r="E38" s="37">
        <v>1.86396835057821</v>
      </c>
      <c r="G38" s="37">
        <v>0.995980980414355</v>
      </c>
      <c r="H38" s="36" t="s">
        <v>214</v>
      </c>
      <c r="I38" s="36" t="s">
        <v>116</v>
      </c>
    </row>
    <row r="39" spans="1:9">
      <c r="A39" s="36" t="s">
        <v>137</v>
      </c>
      <c r="B39" s="36" t="s">
        <v>110</v>
      </c>
      <c r="C39" s="36">
        <v>0.3</v>
      </c>
      <c r="D39" s="36" t="s">
        <v>220</v>
      </c>
      <c r="E39" s="37">
        <f t="shared" ref="E39:E45" si="2">C39*28/44</f>
        <v>0.190909090909091</v>
      </c>
      <c r="I39" s="36" t="s">
        <v>222</v>
      </c>
    </row>
    <row r="40" spans="1:9">
      <c r="A40" s="36" t="s">
        <v>184</v>
      </c>
      <c r="B40" s="36" t="s">
        <v>110</v>
      </c>
      <c r="C40" s="36">
        <v>0.1</v>
      </c>
      <c r="D40" s="36" t="s">
        <v>223</v>
      </c>
      <c r="E40" s="37">
        <f>C40*0.7*28/44*0.8</f>
        <v>0.0356363636363636</v>
      </c>
      <c r="I40" s="36" t="s">
        <v>224</v>
      </c>
    </row>
    <row r="41" spans="1:9">
      <c r="A41" s="36" t="s">
        <v>108</v>
      </c>
      <c r="B41" s="36" t="s">
        <v>110</v>
      </c>
      <c r="C41" s="36">
        <v>0.06</v>
      </c>
      <c r="D41" s="36" t="s">
        <v>223</v>
      </c>
      <c r="E41" s="37">
        <f>C41*0.7*28/44*0.4</f>
        <v>0.0106909090909091</v>
      </c>
      <c r="I41" s="36" t="s">
        <v>224</v>
      </c>
    </row>
    <row r="42" spans="1:9">
      <c r="A42" s="36" t="s">
        <v>137</v>
      </c>
      <c r="B42" s="36" t="s">
        <v>110</v>
      </c>
      <c r="C42" s="36">
        <v>0.012</v>
      </c>
      <c r="D42" s="36" t="s">
        <v>223</v>
      </c>
      <c r="E42" s="37">
        <f>C42*0.7*28/44*0.8</f>
        <v>0.00427636363636364</v>
      </c>
      <c r="I42" s="36" t="s">
        <v>224</v>
      </c>
    </row>
    <row r="43" spans="1:9">
      <c r="A43" s="36" t="s">
        <v>108</v>
      </c>
      <c r="B43" s="36" t="s">
        <v>114</v>
      </c>
      <c r="C43" s="36">
        <v>0.257</v>
      </c>
      <c r="D43" s="36" t="s">
        <v>220</v>
      </c>
      <c r="E43" s="37">
        <f t="shared" si="2"/>
        <v>0.163545454545455</v>
      </c>
      <c r="G43" s="37">
        <v>0.871794871794872</v>
      </c>
      <c r="H43" s="36" t="s">
        <v>214</v>
      </c>
      <c r="I43" s="36" t="s">
        <v>121</v>
      </c>
    </row>
    <row r="44" spans="1:9">
      <c r="A44" s="36" t="s">
        <v>108</v>
      </c>
      <c r="B44" s="36" t="s">
        <v>114</v>
      </c>
      <c r="C44" s="36">
        <v>1.53</v>
      </c>
      <c r="D44" s="36" t="s">
        <v>220</v>
      </c>
      <c r="E44" s="37">
        <f t="shared" si="2"/>
        <v>0.973636363636364</v>
      </c>
      <c r="I44" s="36" t="s">
        <v>121</v>
      </c>
    </row>
    <row r="45" spans="1:9">
      <c r="A45" s="36" t="s">
        <v>108</v>
      </c>
      <c r="B45" s="36" t="s">
        <v>114</v>
      </c>
      <c r="C45" s="36">
        <v>1.47</v>
      </c>
      <c r="D45" s="36" t="s">
        <v>220</v>
      </c>
      <c r="E45" s="37">
        <f t="shared" si="2"/>
        <v>0.935454545454545</v>
      </c>
      <c r="I45" s="36" t="s">
        <v>121</v>
      </c>
    </row>
    <row r="46" spans="1:9">
      <c r="A46" s="36" t="s">
        <v>136</v>
      </c>
      <c r="B46" s="36" t="s">
        <v>110</v>
      </c>
      <c r="C46" s="36">
        <v>1.72</v>
      </c>
      <c r="D46" s="36" t="s">
        <v>223</v>
      </c>
      <c r="E46" s="37">
        <f t="shared" ref="E46:E65" si="3">C46*28/44*0.7*F46</f>
        <v>0.635930909090909</v>
      </c>
      <c r="F46" s="37">
        <v>0.83</v>
      </c>
      <c r="I46" s="36" t="s">
        <v>225</v>
      </c>
    </row>
    <row r="47" spans="1:9">
      <c r="A47" s="36" t="s">
        <v>136</v>
      </c>
      <c r="B47" s="36" t="s">
        <v>110</v>
      </c>
      <c r="C47" s="36">
        <v>2.4</v>
      </c>
      <c r="D47" s="36" t="s">
        <v>223</v>
      </c>
      <c r="E47" s="37">
        <f t="shared" si="3"/>
        <v>0.887345454545455</v>
      </c>
      <c r="F47" s="37">
        <v>0.83</v>
      </c>
      <c r="I47" s="36" t="s">
        <v>225</v>
      </c>
    </row>
    <row r="48" spans="1:9">
      <c r="A48" s="36" t="s">
        <v>136</v>
      </c>
      <c r="B48" s="36" t="s">
        <v>110</v>
      </c>
      <c r="C48" s="36">
        <v>1.62</v>
      </c>
      <c r="D48" s="36" t="s">
        <v>223</v>
      </c>
      <c r="E48" s="37">
        <f t="shared" si="3"/>
        <v>0.598958181818182</v>
      </c>
      <c r="F48" s="37">
        <v>0.83</v>
      </c>
      <c r="I48" s="36" t="s">
        <v>225</v>
      </c>
    </row>
    <row r="49" spans="1:9">
      <c r="A49" s="36" t="s">
        <v>136</v>
      </c>
      <c r="B49" s="36" t="s">
        <v>110</v>
      </c>
      <c r="C49" s="36">
        <v>1.31</v>
      </c>
      <c r="D49" s="36" t="s">
        <v>223</v>
      </c>
      <c r="E49" s="37">
        <f t="shared" si="3"/>
        <v>0.484342727272727</v>
      </c>
      <c r="F49" s="37">
        <v>0.83</v>
      </c>
      <c r="I49" s="36" t="s">
        <v>225</v>
      </c>
    </row>
    <row r="50" spans="1:9">
      <c r="A50" s="36" t="s">
        <v>136</v>
      </c>
      <c r="B50" s="36" t="s">
        <v>110</v>
      </c>
      <c r="C50" s="36">
        <v>3.17</v>
      </c>
      <c r="D50" s="36" t="s">
        <v>223</v>
      </c>
      <c r="E50" s="37">
        <f t="shared" si="3"/>
        <v>1.15791454545455</v>
      </c>
      <c r="F50" s="37">
        <v>0.82</v>
      </c>
      <c r="I50" s="36" t="s">
        <v>225</v>
      </c>
    </row>
    <row r="51" spans="1:9">
      <c r="A51" s="36" t="s">
        <v>136</v>
      </c>
      <c r="B51" s="36" t="s">
        <v>110</v>
      </c>
      <c r="C51" s="36">
        <v>2.96</v>
      </c>
      <c r="D51" s="36" t="s">
        <v>223</v>
      </c>
      <c r="E51" s="37">
        <f t="shared" si="3"/>
        <v>1.08120727272727</v>
      </c>
      <c r="F51" s="37">
        <v>0.82</v>
      </c>
      <c r="I51" s="36" t="s">
        <v>225</v>
      </c>
    </row>
    <row r="52" spans="1:9">
      <c r="A52" s="36" t="s">
        <v>136</v>
      </c>
      <c r="B52" s="36" t="s">
        <v>110</v>
      </c>
      <c r="C52" s="36">
        <v>0.322</v>
      </c>
      <c r="D52" s="36" t="s">
        <v>223</v>
      </c>
      <c r="E52" s="37">
        <f t="shared" si="3"/>
        <v>0.117617818181818</v>
      </c>
      <c r="F52" s="37">
        <v>0.82</v>
      </c>
      <c r="I52" s="36" t="s">
        <v>225</v>
      </c>
    </row>
    <row r="53" spans="1:9">
      <c r="A53" s="36" t="s">
        <v>136</v>
      </c>
      <c r="B53" s="36" t="s">
        <v>110</v>
      </c>
      <c r="C53" s="36">
        <v>2.23</v>
      </c>
      <c r="D53" s="36" t="s">
        <v>223</v>
      </c>
      <c r="E53" s="37">
        <f t="shared" si="3"/>
        <v>0.814558181818182</v>
      </c>
      <c r="F53" s="37">
        <v>0.82</v>
      </c>
      <c r="I53" s="36" t="s">
        <v>225</v>
      </c>
    </row>
    <row r="54" spans="1:9">
      <c r="A54" s="36" t="s">
        <v>136</v>
      </c>
      <c r="B54" s="36" t="s">
        <v>110</v>
      </c>
      <c r="C54" s="36">
        <v>3.61</v>
      </c>
      <c r="D54" s="36" t="s">
        <v>223</v>
      </c>
      <c r="E54" s="37">
        <f t="shared" si="3"/>
        <v>1.31863454545455</v>
      </c>
      <c r="F54" s="37">
        <v>0.82</v>
      </c>
      <c r="I54" s="36" t="s">
        <v>225</v>
      </c>
    </row>
    <row r="55" spans="1:9">
      <c r="A55" s="36" t="s">
        <v>136</v>
      </c>
      <c r="B55" s="36" t="s">
        <v>110</v>
      </c>
      <c r="C55" s="36">
        <v>3.58</v>
      </c>
      <c r="D55" s="36" t="s">
        <v>223</v>
      </c>
      <c r="E55" s="37">
        <f t="shared" si="3"/>
        <v>1.30767636363636</v>
      </c>
      <c r="F55" s="37">
        <v>0.82</v>
      </c>
      <c r="I55" s="36" t="s">
        <v>225</v>
      </c>
    </row>
    <row r="56" spans="1:9">
      <c r="A56" s="36" t="s">
        <v>136</v>
      </c>
      <c r="B56" s="36" t="s">
        <v>110</v>
      </c>
      <c r="C56" s="36">
        <v>2.07</v>
      </c>
      <c r="D56" s="36" t="s">
        <v>223</v>
      </c>
      <c r="E56" s="37">
        <f t="shared" si="3"/>
        <v>0.765335454545454</v>
      </c>
      <c r="F56" s="37">
        <v>0.83</v>
      </c>
      <c r="I56" s="36" t="s">
        <v>225</v>
      </c>
    </row>
    <row r="57" spans="1:9">
      <c r="A57" s="36" t="s">
        <v>136</v>
      </c>
      <c r="B57" s="36" t="s">
        <v>110</v>
      </c>
      <c r="C57" s="36">
        <v>1.41</v>
      </c>
      <c r="D57" s="36" t="s">
        <v>223</v>
      </c>
      <c r="E57" s="37">
        <f t="shared" si="3"/>
        <v>0.521315454545454</v>
      </c>
      <c r="F57" s="37">
        <v>0.83</v>
      </c>
      <c r="I57" s="36" t="s">
        <v>225</v>
      </c>
    </row>
    <row r="58" spans="1:9">
      <c r="A58" s="36" t="s">
        <v>136</v>
      </c>
      <c r="B58" s="36" t="s">
        <v>110</v>
      </c>
      <c r="C58" s="36">
        <v>1.84</v>
      </c>
      <c r="D58" s="36" t="s">
        <v>223</v>
      </c>
      <c r="E58" s="37">
        <f t="shared" si="3"/>
        <v>0.680298181818182</v>
      </c>
      <c r="F58" s="37">
        <v>0.83</v>
      </c>
      <c r="I58" s="36" t="s">
        <v>225</v>
      </c>
    </row>
    <row r="59" spans="1:9">
      <c r="A59" s="36" t="s">
        <v>136</v>
      </c>
      <c r="B59" s="36" t="s">
        <v>110</v>
      </c>
      <c r="C59" s="36">
        <v>3.41</v>
      </c>
      <c r="D59" s="36" t="s">
        <v>223</v>
      </c>
      <c r="E59" s="37">
        <f t="shared" si="3"/>
        <v>1.24558</v>
      </c>
      <c r="F59" s="37">
        <v>0.82</v>
      </c>
      <c r="I59" s="36" t="s">
        <v>225</v>
      </c>
    </row>
    <row r="60" spans="1:9">
      <c r="A60" s="36" t="s">
        <v>136</v>
      </c>
      <c r="B60" s="36" t="s">
        <v>110</v>
      </c>
      <c r="C60" s="36">
        <v>2.4</v>
      </c>
      <c r="D60" s="36" t="s">
        <v>223</v>
      </c>
      <c r="E60" s="37">
        <f t="shared" si="3"/>
        <v>0.876654545454545</v>
      </c>
      <c r="F60" s="37">
        <v>0.82</v>
      </c>
      <c r="I60" s="36" t="s">
        <v>225</v>
      </c>
    </row>
    <row r="61" spans="1:9">
      <c r="A61" s="36" t="s">
        <v>136</v>
      </c>
      <c r="B61" s="36" t="s">
        <v>110</v>
      </c>
      <c r="C61" s="36">
        <v>2.92</v>
      </c>
      <c r="D61" s="36" t="s">
        <v>223</v>
      </c>
      <c r="E61" s="37">
        <f t="shared" si="3"/>
        <v>1.06659636363636</v>
      </c>
      <c r="F61" s="37">
        <v>0.82</v>
      </c>
      <c r="I61" s="36" t="s">
        <v>225</v>
      </c>
    </row>
    <row r="62" spans="1:9">
      <c r="A62" s="36" t="s">
        <v>136</v>
      </c>
      <c r="B62" s="36" t="s">
        <v>110</v>
      </c>
      <c r="C62" s="36">
        <v>2.63</v>
      </c>
      <c r="D62" s="36" t="s">
        <v>223</v>
      </c>
      <c r="E62" s="37">
        <f t="shared" si="3"/>
        <v>0.960667272727273</v>
      </c>
      <c r="F62" s="37">
        <v>0.82</v>
      </c>
      <c r="I62" s="36" t="s">
        <v>225</v>
      </c>
    </row>
    <row r="63" spans="1:9">
      <c r="A63" s="36" t="s">
        <v>136</v>
      </c>
      <c r="B63" s="36" t="s">
        <v>110</v>
      </c>
      <c r="C63" s="36">
        <v>3.08</v>
      </c>
      <c r="D63" s="36" t="s">
        <v>223</v>
      </c>
      <c r="E63" s="37">
        <f t="shared" si="3"/>
        <v>1.12504</v>
      </c>
      <c r="F63" s="37">
        <v>0.82</v>
      </c>
      <c r="I63" s="36" t="s">
        <v>225</v>
      </c>
    </row>
    <row r="64" spans="1:9">
      <c r="A64" s="36" t="s">
        <v>136</v>
      </c>
      <c r="B64" s="36" t="s">
        <v>110</v>
      </c>
      <c r="C64" s="36">
        <v>3.76</v>
      </c>
      <c r="D64" s="36" t="s">
        <v>223</v>
      </c>
      <c r="E64" s="37">
        <f t="shared" si="3"/>
        <v>1.37342545454545</v>
      </c>
      <c r="F64" s="37">
        <v>0.82</v>
      </c>
      <c r="I64" s="36" t="s">
        <v>225</v>
      </c>
    </row>
    <row r="65" spans="1:9">
      <c r="A65" s="36" t="s">
        <v>136</v>
      </c>
      <c r="B65" s="36" t="s">
        <v>110</v>
      </c>
      <c r="C65" s="36">
        <v>3.67</v>
      </c>
      <c r="D65" s="36" t="s">
        <v>223</v>
      </c>
      <c r="E65" s="37">
        <f t="shared" si="3"/>
        <v>1.34055090909091</v>
      </c>
      <c r="F65" s="37">
        <v>0.82</v>
      </c>
      <c r="I65" s="36" t="s">
        <v>225</v>
      </c>
    </row>
    <row r="66" spans="1:9">
      <c r="A66" s="36" t="s">
        <v>108</v>
      </c>
      <c r="B66" s="36" t="s">
        <v>110</v>
      </c>
      <c r="C66" s="36">
        <v>0.18</v>
      </c>
      <c r="D66" s="36" t="s">
        <v>211</v>
      </c>
      <c r="E66" s="37">
        <v>0.18</v>
      </c>
      <c r="I66" s="36" t="s">
        <v>226</v>
      </c>
    </row>
    <row r="67" spans="1:9">
      <c r="A67" s="36" t="s">
        <v>108</v>
      </c>
      <c r="B67" s="36" t="s">
        <v>110</v>
      </c>
      <c r="C67" s="36">
        <v>0.19</v>
      </c>
      <c r="D67" s="36" t="s">
        <v>211</v>
      </c>
      <c r="E67" s="37">
        <v>0.19</v>
      </c>
      <c r="I67" s="36" t="s">
        <v>226</v>
      </c>
    </row>
    <row r="68" spans="1:9">
      <c r="A68" s="36" t="s">
        <v>108</v>
      </c>
      <c r="B68" s="36" t="s">
        <v>110</v>
      </c>
      <c r="C68" s="36">
        <v>0.021</v>
      </c>
      <c r="D68" s="36" t="s">
        <v>211</v>
      </c>
      <c r="E68" s="37">
        <v>0.021</v>
      </c>
      <c r="I68" s="36" t="s">
        <v>226</v>
      </c>
    </row>
    <row r="69" spans="1:9">
      <c r="A69" s="36" t="s">
        <v>108</v>
      </c>
      <c r="B69" s="36" t="s">
        <v>110</v>
      </c>
      <c r="C69" s="36">
        <v>0.27</v>
      </c>
      <c r="D69" s="36" t="s">
        <v>211</v>
      </c>
      <c r="E69" s="37">
        <v>0.27</v>
      </c>
      <c r="I69" s="36" t="s">
        <v>226</v>
      </c>
    </row>
    <row r="70" spans="1:9">
      <c r="A70" s="36" t="s">
        <v>108</v>
      </c>
      <c r="B70" s="36" t="s">
        <v>110</v>
      </c>
      <c r="C70" s="36">
        <v>0.05</v>
      </c>
      <c r="D70" s="36" t="s">
        <v>211</v>
      </c>
      <c r="E70" s="37">
        <v>0.05</v>
      </c>
      <c r="I70" s="36" t="s">
        <v>226</v>
      </c>
    </row>
    <row r="71" spans="1:9">
      <c r="A71" s="36" t="s">
        <v>108</v>
      </c>
      <c r="B71" s="36" t="s">
        <v>110</v>
      </c>
      <c r="C71" s="36">
        <v>0.073</v>
      </c>
      <c r="D71" s="36" t="s">
        <v>211</v>
      </c>
      <c r="E71" s="37">
        <v>0.073</v>
      </c>
      <c r="I71" s="36" t="s">
        <v>226</v>
      </c>
    </row>
    <row r="72" spans="1:9">
      <c r="A72" s="36" t="s">
        <v>108</v>
      </c>
      <c r="B72" s="36" t="s">
        <v>110</v>
      </c>
      <c r="C72" s="36">
        <v>0.034</v>
      </c>
      <c r="D72" s="36" t="s">
        <v>211</v>
      </c>
      <c r="E72" s="37">
        <v>0.034</v>
      </c>
      <c r="I72" s="36" t="s">
        <v>226</v>
      </c>
    </row>
    <row r="73" spans="1:9">
      <c r="A73" s="36" t="s">
        <v>108</v>
      </c>
      <c r="B73" s="36" t="s">
        <v>110</v>
      </c>
      <c r="C73" s="36">
        <v>0.18</v>
      </c>
      <c r="D73" s="36" t="s">
        <v>211</v>
      </c>
      <c r="E73" s="37">
        <f t="shared" ref="E73:E79" si="4">C73</f>
        <v>0.18</v>
      </c>
      <c r="I73" s="36" t="s">
        <v>227</v>
      </c>
    </row>
    <row r="74" spans="1:9">
      <c r="A74" s="36" t="s">
        <v>108</v>
      </c>
      <c r="B74" s="36" t="s">
        <v>110</v>
      </c>
      <c r="C74" s="36">
        <v>0.19</v>
      </c>
      <c r="D74" s="36" t="s">
        <v>211</v>
      </c>
      <c r="E74" s="37">
        <f t="shared" si="4"/>
        <v>0.19</v>
      </c>
      <c r="I74" s="36" t="s">
        <v>227</v>
      </c>
    </row>
    <row r="75" spans="1:9">
      <c r="A75" s="36" t="s">
        <v>108</v>
      </c>
      <c r="B75" s="36" t="s">
        <v>110</v>
      </c>
      <c r="C75" s="36">
        <v>0.02</v>
      </c>
      <c r="D75" s="36" t="s">
        <v>211</v>
      </c>
      <c r="E75" s="37">
        <f t="shared" si="4"/>
        <v>0.02</v>
      </c>
      <c r="I75" s="36" t="s">
        <v>227</v>
      </c>
    </row>
    <row r="76" spans="1:9">
      <c r="A76" s="36" t="s">
        <v>108</v>
      </c>
      <c r="B76" s="36" t="s">
        <v>110</v>
      </c>
      <c r="C76" s="36">
        <v>0.31</v>
      </c>
      <c r="D76" s="36" t="s">
        <v>211</v>
      </c>
      <c r="E76" s="37">
        <f t="shared" si="4"/>
        <v>0.31</v>
      </c>
      <c r="I76" s="36" t="s">
        <v>227</v>
      </c>
    </row>
    <row r="77" spans="1:9">
      <c r="A77" s="36" t="s">
        <v>108</v>
      </c>
      <c r="B77" s="36" t="s">
        <v>110</v>
      </c>
      <c r="C77" s="36">
        <v>0.05</v>
      </c>
      <c r="D77" s="36" t="s">
        <v>211</v>
      </c>
      <c r="E77" s="37">
        <f t="shared" si="4"/>
        <v>0.05</v>
      </c>
      <c r="I77" s="36" t="s">
        <v>227</v>
      </c>
    </row>
    <row r="78" spans="1:9">
      <c r="A78" s="36" t="s">
        <v>108</v>
      </c>
      <c r="B78" s="36" t="s">
        <v>110</v>
      </c>
      <c r="C78" s="36">
        <v>0.07</v>
      </c>
      <c r="D78" s="36" t="s">
        <v>211</v>
      </c>
      <c r="E78" s="37">
        <f t="shared" si="4"/>
        <v>0.07</v>
      </c>
      <c r="I78" s="36" t="s">
        <v>227</v>
      </c>
    </row>
    <row r="79" spans="1:9">
      <c r="A79" s="36" t="s">
        <v>108</v>
      </c>
      <c r="B79" s="36" t="s">
        <v>110</v>
      </c>
      <c r="C79" s="36">
        <v>0.03</v>
      </c>
      <c r="D79" s="36" t="s">
        <v>211</v>
      </c>
      <c r="E79" s="37">
        <f t="shared" si="4"/>
        <v>0.03</v>
      </c>
      <c r="I79" s="36" t="s">
        <v>227</v>
      </c>
    </row>
    <row r="80" spans="1:9">
      <c r="A80" s="36" t="s">
        <v>108</v>
      </c>
      <c r="B80" s="36" t="s">
        <v>110</v>
      </c>
      <c r="C80" s="36">
        <v>0.14</v>
      </c>
      <c r="D80" s="36" t="s">
        <v>211</v>
      </c>
      <c r="E80" s="37">
        <v>0.14</v>
      </c>
      <c r="I80" s="36" t="s">
        <v>228</v>
      </c>
    </row>
    <row r="81" spans="1:9">
      <c r="A81" s="36" t="s">
        <v>184</v>
      </c>
      <c r="B81" s="36" t="s">
        <v>114</v>
      </c>
      <c r="C81" s="36">
        <v>0.032</v>
      </c>
      <c r="D81" s="36" t="s">
        <v>229</v>
      </c>
      <c r="E81" s="37">
        <f>C81*0.7</f>
        <v>0.0224</v>
      </c>
      <c r="I81" s="36" t="s">
        <v>230</v>
      </c>
    </row>
    <row r="82" spans="1:9">
      <c r="A82" s="36" t="s">
        <v>184</v>
      </c>
      <c r="B82" s="36" t="s">
        <v>110</v>
      </c>
      <c r="E82" s="37">
        <v>0.00950467971305181</v>
      </c>
      <c r="H82" s="36" t="s">
        <v>214</v>
      </c>
      <c r="I82" s="36" t="s">
        <v>231</v>
      </c>
    </row>
    <row r="83" spans="1:9">
      <c r="A83" s="36" t="s">
        <v>184</v>
      </c>
      <c r="B83" s="36" t="s">
        <v>110</v>
      </c>
      <c r="E83" s="37">
        <v>0.369881109643329</v>
      </c>
      <c r="H83" s="36" t="s">
        <v>214</v>
      </c>
      <c r="I83" s="36" t="s">
        <v>232</v>
      </c>
    </row>
    <row r="84" spans="1:9">
      <c r="A84" s="36" t="s">
        <v>184</v>
      </c>
      <c r="B84" s="36" t="s">
        <v>110</v>
      </c>
      <c r="E84" s="37">
        <v>2.21153846153846</v>
      </c>
      <c r="H84" s="36" t="s">
        <v>214</v>
      </c>
      <c r="I84" s="36" t="s">
        <v>232</v>
      </c>
    </row>
    <row r="85" spans="1:9">
      <c r="A85" s="36" t="s">
        <v>184</v>
      </c>
      <c r="B85" s="36" t="s">
        <v>110</v>
      </c>
      <c r="E85" s="37">
        <v>0.997566909975669</v>
      </c>
      <c r="H85" s="36" t="s">
        <v>214</v>
      </c>
      <c r="I85" s="36" t="s">
        <v>232</v>
      </c>
    </row>
    <row r="86" spans="1:9">
      <c r="A86" s="36" t="s">
        <v>184</v>
      </c>
      <c r="B86" s="36" t="s">
        <v>110</v>
      </c>
      <c r="E86" s="37">
        <v>10.2868318122555</v>
      </c>
      <c r="H86" s="36" t="s">
        <v>214</v>
      </c>
      <c r="I86" s="36" t="s">
        <v>232</v>
      </c>
    </row>
    <row r="87" spans="1:9">
      <c r="A87" s="42" t="s">
        <v>139</v>
      </c>
      <c r="B87" s="36" t="s">
        <v>110</v>
      </c>
      <c r="C87" s="36">
        <v>0.58</v>
      </c>
      <c r="D87" s="36" t="s">
        <v>212</v>
      </c>
      <c r="E87" s="37">
        <v>0.58</v>
      </c>
      <c r="I87" s="36" t="s">
        <v>233</v>
      </c>
    </row>
    <row r="88" spans="1:9">
      <c r="A88" s="36" t="s">
        <v>108</v>
      </c>
      <c r="B88" s="36" t="s">
        <v>114</v>
      </c>
      <c r="C88" s="36">
        <v>0.00106</v>
      </c>
      <c r="D88" s="36" t="s">
        <v>234</v>
      </c>
      <c r="E88" s="37">
        <f>C88*28/44*100</f>
        <v>0.0674545454545454</v>
      </c>
      <c r="I88" s="36" t="s">
        <v>125</v>
      </c>
    </row>
    <row r="89" spans="1:9">
      <c r="A89" s="36" t="s">
        <v>108</v>
      </c>
      <c r="B89" s="36" t="s">
        <v>114</v>
      </c>
      <c r="C89" s="36">
        <v>0.0023</v>
      </c>
      <c r="D89" s="36" t="s">
        <v>234</v>
      </c>
      <c r="E89" s="37">
        <f>C89*28/44*100</f>
        <v>0.146363636363636</v>
      </c>
      <c r="I89" s="36" t="s">
        <v>125</v>
      </c>
    </row>
    <row r="90" spans="1:9">
      <c r="A90" s="36" t="s">
        <v>126</v>
      </c>
      <c r="B90" s="36" t="s">
        <v>114</v>
      </c>
      <c r="C90" s="36">
        <v>0.00182</v>
      </c>
      <c r="D90" s="36" t="s">
        <v>235</v>
      </c>
      <c r="E90" s="37">
        <f>C90*F90*100*28/44</f>
        <v>0.103425636363636</v>
      </c>
      <c r="F90" s="37">
        <v>0.893</v>
      </c>
      <c r="G90" s="43">
        <f>(1.427+0.811+94.741+0.525-2.708)/100</f>
        <v>0.94796</v>
      </c>
      <c r="I90" s="35" t="s">
        <v>128</v>
      </c>
    </row>
    <row r="91" spans="1:9">
      <c r="A91" s="36" t="s">
        <v>136</v>
      </c>
      <c r="B91" s="36" t="s">
        <v>110</v>
      </c>
      <c r="C91" s="36">
        <v>0.89</v>
      </c>
      <c r="D91" s="36" t="s">
        <v>217</v>
      </c>
      <c r="E91" s="37">
        <f>C91*0.8</f>
        <v>0.712</v>
      </c>
      <c r="I91" s="36" t="s">
        <v>236</v>
      </c>
    </row>
    <row r="92" spans="1:9">
      <c r="A92" s="36" t="s">
        <v>136</v>
      </c>
      <c r="B92" s="36" t="s">
        <v>110</v>
      </c>
      <c r="C92" s="36">
        <v>0.23</v>
      </c>
      <c r="D92" s="36" t="s">
        <v>217</v>
      </c>
      <c r="E92" s="37">
        <f>C92*0.8</f>
        <v>0.184</v>
      </c>
      <c r="I92" s="36" t="s">
        <v>236</v>
      </c>
    </row>
    <row r="93" spans="1:9">
      <c r="A93" s="36" t="s">
        <v>136</v>
      </c>
      <c r="B93" s="36" t="s">
        <v>110</v>
      </c>
      <c r="C93" s="36">
        <v>0.67</v>
      </c>
      <c r="D93" s="36" t="s">
        <v>217</v>
      </c>
      <c r="E93" s="37">
        <f>C93*0.8</f>
        <v>0.536</v>
      </c>
      <c r="I93" s="36" t="s">
        <v>236</v>
      </c>
    </row>
    <row r="94" spans="1:9">
      <c r="A94" s="36" t="s">
        <v>136</v>
      </c>
      <c r="B94" s="36" t="s">
        <v>110</v>
      </c>
      <c r="C94" s="36">
        <v>0.84</v>
      </c>
      <c r="D94" s="36" t="s">
        <v>217</v>
      </c>
      <c r="E94" s="37">
        <f>C94*0.8</f>
        <v>0.672</v>
      </c>
      <c r="I94" s="36" t="s">
        <v>236</v>
      </c>
    </row>
    <row r="95" spans="1:9">
      <c r="A95" s="36" t="s">
        <v>108</v>
      </c>
      <c r="B95" s="36" t="s">
        <v>114</v>
      </c>
      <c r="E95" s="37">
        <v>0.035</v>
      </c>
      <c r="G95" s="37">
        <v>0.947867298578199</v>
      </c>
      <c r="H95" s="36" t="s">
        <v>214</v>
      </c>
      <c r="I95" s="36" t="s">
        <v>237</v>
      </c>
    </row>
    <row r="96" spans="1:9">
      <c r="A96" s="36" t="s">
        <v>137</v>
      </c>
      <c r="B96" s="36" t="s">
        <v>114</v>
      </c>
      <c r="C96" s="36">
        <v>2.8</v>
      </c>
      <c r="D96" s="36" t="s">
        <v>238</v>
      </c>
      <c r="E96" s="37">
        <v>2.8</v>
      </c>
      <c r="I96" s="36" t="s">
        <v>133</v>
      </c>
    </row>
    <row r="97" spans="1:9">
      <c r="A97" s="36" t="s">
        <v>108</v>
      </c>
      <c r="B97" s="36" t="s">
        <v>110</v>
      </c>
      <c r="E97" s="37">
        <v>0.101775757575758</v>
      </c>
      <c r="H97" s="36" t="s">
        <v>214</v>
      </c>
      <c r="I97" s="36" t="s">
        <v>239</v>
      </c>
    </row>
    <row r="98" spans="1:9">
      <c r="A98" s="36" t="s">
        <v>112</v>
      </c>
      <c r="B98" s="36" t="s">
        <v>114</v>
      </c>
      <c r="C98" s="36">
        <v>1.3</v>
      </c>
      <c r="D98" s="36" t="s">
        <v>240</v>
      </c>
      <c r="E98" s="37">
        <f t="shared" ref="E98:E119" si="5">C98*28/44*F98</f>
        <v>0.763636363636364</v>
      </c>
      <c r="F98" s="37">
        <v>0.923076923076923</v>
      </c>
      <c r="I98" s="36" t="s">
        <v>135</v>
      </c>
    </row>
    <row r="99" spans="1:9">
      <c r="A99" s="36" t="s">
        <v>112</v>
      </c>
      <c r="B99" s="36" t="s">
        <v>114</v>
      </c>
      <c r="C99" s="36">
        <v>1.2</v>
      </c>
      <c r="D99" s="36" t="s">
        <v>240</v>
      </c>
      <c r="E99" s="37">
        <f t="shared" si="5"/>
        <v>0.704895104895105</v>
      </c>
      <c r="F99" s="37">
        <v>0.923076923076923</v>
      </c>
      <c r="I99" s="36" t="s">
        <v>135</v>
      </c>
    </row>
    <row r="100" spans="1:9">
      <c r="A100" s="36" t="s">
        <v>112</v>
      </c>
      <c r="B100" s="36" t="s">
        <v>114</v>
      </c>
      <c r="C100" s="36">
        <v>1.5</v>
      </c>
      <c r="D100" s="36" t="s">
        <v>240</v>
      </c>
      <c r="E100" s="37">
        <f t="shared" si="5"/>
        <v>0.881118881118881</v>
      </c>
      <c r="F100" s="37">
        <v>0.923076923076923</v>
      </c>
      <c r="I100" s="36" t="s">
        <v>135</v>
      </c>
    </row>
    <row r="101" spans="1:9">
      <c r="A101" s="36" t="s">
        <v>112</v>
      </c>
      <c r="B101" s="36" t="s">
        <v>114</v>
      </c>
      <c r="C101" s="36">
        <v>0.8</v>
      </c>
      <c r="D101" s="36" t="s">
        <v>240</v>
      </c>
      <c r="E101" s="37">
        <f t="shared" si="5"/>
        <v>0.46993006993007</v>
      </c>
      <c r="F101" s="37">
        <v>0.923076923076923</v>
      </c>
      <c r="I101" s="36" t="s">
        <v>135</v>
      </c>
    </row>
    <row r="102" spans="1:9">
      <c r="A102" s="36" t="s">
        <v>136</v>
      </c>
      <c r="B102" s="36" t="s">
        <v>114</v>
      </c>
      <c r="C102" s="36">
        <v>5.9</v>
      </c>
      <c r="D102" s="36" t="s">
        <v>240</v>
      </c>
      <c r="E102" s="37">
        <f t="shared" si="5"/>
        <v>3.30909090909091</v>
      </c>
      <c r="F102" s="37">
        <v>0.88135593220339</v>
      </c>
      <c r="I102" s="36" t="s">
        <v>135</v>
      </c>
    </row>
    <row r="103" spans="1:9">
      <c r="A103" s="36" t="s">
        <v>136</v>
      </c>
      <c r="B103" s="36" t="s">
        <v>114</v>
      </c>
      <c r="C103" s="36">
        <v>4.2</v>
      </c>
      <c r="D103" s="36" t="s">
        <v>240</v>
      </c>
      <c r="E103" s="37">
        <f t="shared" si="5"/>
        <v>2.35562403697997</v>
      </c>
      <c r="F103" s="37">
        <v>0.88135593220339</v>
      </c>
      <c r="I103" s="36" t="s">
        <v>135</v>
      </c>
    </row>
    <row r="104" spans="1:9">
      <c r="A104" s="36" t="s">
        <v>136</v>
      </c>
      <c r="B104" s="36" t="s">
        <v>114</v>
      </c>
      <c r="C104" s="36">
        <v>3.2</v>
      </c>
      <c r="D104" s="36" t="s">
        <v>240</v>
      </c>
      <c r="E104" s="37">
        <f t="shared" si="5"/>
        <v>1.79476117103236</v>
      </c>
      <c r="F104" s="37">
        <v>0.88135593220339</v>
      </c>
      <c r="I104" s="36" t="s">
        <v>135</v>
      </c>
    </row>
    <row r="105" spans="1:9">
      <c r="A105" s="36" t="s">
        <v>136</v>
      </c>
      <c r="B105" s="36" t="s">
        <v>114</v>
      </c>
      <c r="C105" s="36">
        <v>2.9</v>
      </c>
      <c r="D105" s="36" t="s">
        <v>240</v>
      </c>
      <c r="E105" s="37">
        <f t="shared" si="5"/>
        <v>1.62650231124807</v>
      </c>
      <c r="F105" s="37">
        <v>0.88135593220339</v>
      </c>
      <c r="I105" s="36" t="s">
        <v>135</v>
      </c>
    </row>
    <row r="106" spans="1:9">
      <c r="A106" s="36" t="s">
        <v>136</v>
      </c>
      <c r="B106" s="36" t="s">
        <v>114</v>
      </c>
      <c r="C106" s="36">
        <v>3.2</v>
      </c>
      <c r="D106" s="36" t="s">
        <v>240</v>
      </c>
      <c r="E106" s="37">
        <f t="shared" si="5"/>
        <v>1.79476117103236</v>
      </c>
      <c r="F106" s="37">
        <v>0.88135593220339</v>
      </c>
      <c r="I106" s="36" t="s">
        <v>135</v>
      </c>
    </row>
    <row r="107" spans="1:9">
      <c r="A107" s="36" t="s">
        <v>136</v>
      </c>
      <c r="B107" s="36" t="s">
        <v>114</v>
      </c>
      <c r="C107" s="36">
        <v>1.2</v>
      </c>
      <c r="D107" s="36" t="s">
        <v>240</v>
      </c>
      <c r="E107" s="37">
        <f t="shared" si="5"/>
        <v>0.673035439137134</v>
      </c>
      <c r="F107" s="37">
        <v>0.88135593220339</v>
      </c>
      <c r="I107" s="36" t="s">
        <v>135</v>
      </c>
    </row>
    <row r="108" spans="1:9">
      <c r="A108" s="36" t="s">
        <v>136</v>
      </c>
      <c r="B108" s="36" t="s">
        <v>114</v>
      </c>
      <c r="C108" s="36">
        <v>1.1</v>
      </c>
      <c r="D108" s="36" t="s">
        <v>240</v>
      </c>
      <c r="E108" s="37">
        <f t="shared" si="5"/>
        <v>0.616949152542373</v>
      </c>
      <c r="F108" s="37">
        <v>0.88135593220339</v>
      </c>
      <c r="I108" s="36" t="s">
        <v>135</v>
      </c>
    </row>
    <row r="109" spans="1:9">
      <c r="A109" s="36" t="s">
        <v>137</v>
      </c>
      <c r="B109" s="36" t="s">
        <v>114</v>
      </c>
      <c r="C109" s="36">
        <v>0.4</v>
      </c>
      <c r="D109" s="36" t="s">
        <v>240</v>
      </c>
      <c r="E109" s="37">
        <f t="shared" si="5"/>
        <v>0.215384615384615</v>
      </c>
      <c r="F109" s="37">
        <v>0.846153846153846</v>
      </c>
      <c r="I109" s="36" t="s">
        <v>135</v>
      </c>
    </row>
    <row r="110" spans="1:9">
      <c r="A110" s="36" t="s">
        <v>137</v>
      </c>
      <c r="B110" s="36" t="s">
        <v>114</v>
      </c>
      <c r="C110" s="36">
        <v>1.3</v>
      </c>
      <c r="D110" s="36" t="s">
        <v>240</v>
      </c>
      <c r="E110" s="37">
        <f t="shared" si="5"/>
        <v>0.7</v>
      </c>
      <c r="F110" s="37">
        <v>0.846153846153846</v>
      </c>
      <c r="I110" s="36" t="s">
        <v>135</v>
      </c>
    </row>
    <row r="111" spans="1:9">
      <c r="A111" s="36" t="s">
        <v>137</v>
      </c>
      <c r="B111" s="36" t="s">
        <v>114</v>
      </c>
      <c r="C111" s="36">
        <v>0.8</v>
      </c>
      <c r="D111" s="36" t="s">
        <v>240</v>
      </c>
      <c r="E111" s="37">
        <f t="shared" si="5"/>
        <v>0.430769230769231</v>
      </c>
      <c r="F111" s="37">
        <v>0.846153846153846</v>
      </c>
      <c r="I111" s="36" t="s">
        <v>135</v>
      </c>
    </row>
    <row r="112" spans="1:9">
      <c r="A112" s="36" t="s">
        <v>137</v>
      </c>
      <c r="B112" s="36" t="s">
        <v>114</v>
      </c>
      <c r="C112" s="36">
        <v>0.4</v>
      </c>
      <c r="D112" s="36" t="s">
        <v>240</v>
      </c>
      <c r="E112" s="37">
        <f t="shared" si="5"/>
        <v>0.215384615384615</v>
      </c>
      <c r="F112" s="37">
        <v>0.846153846153846</v>
      </c>
      <c r="I112" s="36" t="s">
        <v>135</v>
      </c>
    </row>
    <row r="113" spans="1:9">
      <c r="A113" s="36" t="s">
        <v>137</v>
      </c>
      <c r="B113" s="36" t="s">
        <v>114</v>
      </c>
      <c r="C113" s="36">
        <v>1.1</v>
      </c>
      <c r="D113" s="36" t="s">
        <v>240</v>
      </c>
      <c r="E113" s="37">
        <f t="shared" si="5"/>
        <v>0.592307692307692</v>
      </c>
      <c r="F113" s="37">
        <v>0.846153846153846</v>
      </c>
      <c r="I113" s="36" t="s">
        <v>135</v>
      </c>
    </row>
    <row r="114" spans="1:9">
      <c r="A114" s="36" t="s">
        <v>108</v>
      </c>
      <c r="B114" s="36" t="s">
        <v>114</v>
      </c>
      <c r="C114" s="36">
        <v>0.3</v>
      </c>
      <c r="D114" s="36" t="s">
        <v>240</v>
      </c>
      <c r="E114" s="37">
        <f t="shared" si="5"/>
        <v>0.167045454545455</v>
      </c>
      <c r="F114" s="37">
        <v>0.875</v>
      </c>
      <c r="I114" s="36" t="s">
        <v>135</v>
      </c>
    </row>
    <row r="115" spans="1:9">
      <c r="A115" s="36" t="s">
        <v>108</v>
      </c>
      <c r="B115" s="36" t="s">
        <v>114</v>
      </c>
      <c r="C115" s="36">
        <v>0.4</v>
      </c>
      <c r="D115" s="36" t="s">
        <v>240</v>
      </c>
      <c r="E115" s="37">
        <f t="shared" si="5"/>
        <v>0.222727272727273</v>
      </c>
      <c r="F115" s="37">
        <v>0.875</v>
      </c>
      <c r="I115" s="36" t="s">
        <v>135</v>
      </c>
    </row>
    <row r="116" spans="1:9">
      <c r="A116" s="36" t="s">
        <v>108</v>
      </c>
      <c r="B116" s="36" t="s">
        <v>114</v>
      </c>
      <c r="C116" s="36">
        <v>0.8</v>
      </c>
      <c r="D116" s="36" t="s">
        <v>240</v>
      </c>
      <c r="E116" s="37">
        <f t="shared" si="5"/>
        <v>0.445454545454545</v>
      </c>
      <c r="F116" s="37">
        <v>0.875</v>
      </c>
      <c r="I116" s="36" t="s">
        <v>135</v>
      </c>
    </row>
    <row r="117" spans="1:9">
      <c r="A117" s="36" t="s">
        <v>136</v>
      </c>
      <c r="B117" s="36" t="s">
        <v>114</v>
      </c>
      <c r="C117" s="36">
        <v>3.6</v>
      </c>
      <c r="D117" s="36" t="s">
        <v>240</v>
      </c>
      <c r="E117" s="37">
        <f t="shared" si="5"/>
        <v>1.52727272727273</v>
      </c>
      <c r="F117" s="37">
        <v>0.666666666666667</v>
      </c>
      <c r="I117" s="36" t="s">
        <v>135</v>
      </c>
    </row>
    <row r="118" spans="1:9">
      <c r="A118" s="36" t="s">
        <v>136</v>
      </c>
      <c r="B118" s="36" t="s">
        <v>114</v>
      </c>
      <c r="C118" s="36">
        <v>1.4</v>
      </c>
      <c r="D118" s="36" t="s">
        <v>240</v>
      </c>
      <c r="E118" s="37">
        <f t="shared" si="5"/>
        <v>0.593939393939394</v>
      </c>
      <c r="F118" s="37">
        <v>0.666666666666667</v>
      </c>
      <c r="I118" s="36" t="s">
        <v>135</v>
      </c>
    </row>
    <row r="119" spans="1:9">
      <c r="A119" s="36" t="s">
        <v>136</v>
      </c>
      <c r="B119" s="36" t="s">
        <v>114</v>
      </c>
      <c r="C119" s="36">
        <v>0.1</v>
      </c>
      <c r="D119" s="36" t="s">
        <v>240</v>
      </c>
      <c r="E119" s="37">
        <f t="shared" si="5"/>
        <v>0.0424242424242424</v>
      </c>
      <c r="F119" s="37">
        <v>0.666666666666667</v>
      </c>
      <c r="I119" s="36" t="s">
        <v>135</v>
      </c>
    </row>
    <row r="120" spans="1:9">
      <c r="A120" s="36" t="s">
        <v>137</v>
      </c>
      <c r="B120" s="36" t="s">
        <v>110</v>
      </c>
      <c r="E120" s="37">
        <v>0.905358135277387</v>
      </c>
      <c r="H120" s="36" t="s">
        <v>214</v>
      </c>
      <c r="I120" s="36" t="s">
        <v>241</v>
      </c>
    </row>
    <row r="121" spans="1:9">
      <c r="A121" s="36" t="s">
        <v>137</v>
      </c>
      <c r="B121" s="36" t="s">
        <v>110</v>
      </c>
      <c r="E121" s="37">
        <v>2.36934465265555</v>
      </c>
      <c r="H121" s="36" t="s">
        <v>214</v>
      </c>
      <c r="I121" s="36" t="s">
        <v>241</v>
      </c>
    </row>
    <row r="122" spans="1:9">
      <c r="A122" s="36" t="s">
        <v>112</v>
      </c>
      <c r="B122" s="36" t="s">
        <v>110</v>
      </c>
      <c r="C122" s="36">
        <v>0.89</v>
      </c>
      <c r="D122" s="36" t="s">
        <v>238</v>
      </c>
      <c r="E122" s="37">
        <v>0.89</v>
      </c>
      <c r="I122" s="36" t="s">
        <v>242</v>
      </c>
    </row>
    <row r="123" spans="1:9">
      <c r="A123" s="36" t="s">
        <v>154</v>
      </c>
      <c r="B123" s="36" t="s">
        <v>110</v>
      </c>
      <c r="C123" s="36">
        <v>0.378</v>
      </c>
      <c r="D123" s="36" t="s">
        <v>243</v>
      </c>
      <c r="E123" s="37">
        <f>C123*F123</f>
        <v>0.321582089552239</v>
      </c>
      <c r="F123" s="37">
        <v>0.850746268656716</v>
      </c>
      <c r="I123" s="36" t="s">
        <v>244</v>
      </c>
    </row>
    <row r="124" spans="1:9">
      <c r="A124" s="36" t="s">
        <v>160</v>
      </c>
      <c r="B124" s="36" t="s">
        <v>114</v>
      </c>
      <c r="C124" s="36">
        <v>0.8</v>
      </c>
      <c r="D124" s="36" t="s">
        <v>211</v>
      </c>
      <c r="E124" s="37">
        <f>C124</f>
        <v>0.8</v>
      </c>
      <c r="I124" s="36" t="s">
        <v>245</v>
      </c>
    </row>
    <row r="125" spans="1:9">
      <c r="A125" s="36" t="s">
        <v>108</v>
      </c>
      <c r="B125" s="36" t="s">
        <v>110</v>
      </c>
      <c r="C125" s="36">
        <v>0.004</v>
      </c>
      <c r="D125" s="36" t="s">
        <v>238</v>
      </c>
      <c r="E125" s="37">
        <v>0.004</v>
      </c>
      <c r="I125" s="36" t="s">
        <v>246</v>
      </c>
    </row>
    <row r="126" spans="1:9">
      <c r="A126" s="36" t="s">
        <v>184</v>
      </c>
      <c r="B126" s="36" t="s">
        <v>110</v>
      </c>
      <c r="C126" s="36">
        <v>0.022</v>
      </c>
      <c r="D126" s="36" t="s">
        <v>247</v>
      </c>
      <c r="E126" s="37">
        <f t="shared" ref="E126:E145" si="6">C126*100*F126</f>
        <v>1.94674418604651</v>
      </c>
      <c r="F126" s="37">
        <v>0.884883720930232</v>
      </c>
      <c r="I126" s="36" t="s">
        <v>248</v>
      </c>
    </row>
    <row r="127" spans="1:9">
      <c r="A127" s="36" t="s">
        <v>184</v>
      </c>
      <c r="B127" s="36" t="s">
        <v>110</v>
      </c>
      <c r="C127" s="36">
        <v>0.078</v>
      </c>
      <c r="D127" s="36" t="s">
        <v>247</v>
      </c>
      <c r="E127" s="37">
        <f t="shared" si="6"/>
        <v>6.90209302325581</v>
      </c>
      <c r="F127" s="37">
        <v>0.884883720930232</v>
      </c>
      <c r="I127" s="36" t="s">
        <v>248</v>
      </c>
    </row>
    <row r="128" spans="1:9">
      <c r="A128" s="36" t="s">
        <v>184</v>
      </c>
      <c r="B128" s="36" t="s">
        <v>110</v>
      </c>
      <c r="C128" s="36">
        <v>0.007</v>
      </c>
      <c r="D128" s="36" t="s">
        <v>247</v>
      </c>
      <c r="E128" s="37">
        <f t="shared" si="6"/>
        <v>0.619418604651162</v>
      </c>
      <c r="F128" s="37">
        <v>0.884883720930232</v>
      </c>
      <c r="I128" s="36" t="s">
        <v>248</v>
      </c>
    </row>
    <row r="129" spans="1:9">
      <c r="A129" s="36" t="s">
        <v>184</v>
      </c>
      <c r="B129" s="36" t="s">
        <v>110</v>
      </c>
      <c r="C129" s="36">
        <v>0.096</v>
      </c>
      <c r="D129" s="36" t="s">
        <v>247</v>
      </c>
      <c r="E129" s="37">
        <f t="shared" si="6"/>
        <v>8.49488372093023</v>
      </c>
      <c r="F129" s="37">
        <v>0.884883720930232</v>
      </c>
      <c r="I129" s="36" t="s">
        <v>248</v>
      </c>
    </row>
    <row r="130" spans="1:9">
      <c r="A130" s="36" t="s">
        <v>154</v>
      </c>
      <c r="B130" s="36" t="s">
        <v>110</v>
      </c>
      <c r="C130" s="36">
        <v>0.008</v>
      </c>
      <c r="D130" s="36" t="s">
        <v>247</v>
      </c>
      <c r="E130" s="37">
        <f t="shared" si="6"/>
        <v>0.775730337078652</v>
      </c>
      <c r="F130" s="37">
        <v>0.969662921348315</v>
      </c>
      <c r="I130" s="36" t="s">
        <v>248</v>
      </c>
    </row>
    <row r="131" spans="1:9">
      <c r="A131" s="36" t="s">
        <v>154</v>
      </c>
      <c r="B131" s="36" t="s">
        <v>110</v>
      </c>
      <c r="C131" s="36">
        <v>0.006</v>
      </c>
      <c r="D131" s="36" t="s">
        <v>247</v>
      </c>
      <c r="E131" s="37">
        <f t="shared" si="6"/>
        <v>0.581797752808989</v>
      </c>
      <c r="F131" s="37">
        <v>0.969662921348315</v>
      </c>
      <c r="I131" s="36" t="s">
        <v>248</v>
      </c>
    </row>
    <row r="132" spans="1:9">
      <c r="A132" s="36" t="s">
        <v>154</v>
      </c>
      <c r="B132" s="36" t="s">
        <v>110</v>
      </c>
      <c r="C132" s="36">
        <v>0.013</v>
      </c>
      <c r="D132" s="36" t="s">
        <v>247</v>
      </c>
      <c r="E132" s="37">
        <f t="shared" si="6"/>
        <v>1.26056179775281</v>
      </c>
      <c r="F132" s="37">
        <v>0.969662921348315</v>
      </c>
      <c r="I132" s="36" t="s">
        <v>248</v>
      </c>
    </row>
    <row r="133" spans="1:9">
      <c r="A133" s="36" t="s">
        <v>154</v>
      </c>
      <c r="B133" s="36" t="s">
        <v>110</v>
      </c>
      <c r="C133" s="36">
        <v>0.06</v>
      </c>
      <c r="D133" s="36" t="s">
        <v>247</v>
      </c>
      <c r="E133" s="37">
        <f t="shared" si="6"/>
        <v>5.81797752808989</v>
      </c>
      <c r="F133" s="37">
        <v>0.969662921348315</v>
      </c>
      <c r="I133" s="36" t="s">
        <v>248</v>
      </c>
    </row>
    <row r="134" spans="1:9">
      <c r="A134" s="36" t="s">
        <v>184</v>
      </c>
      <c r="B134" s="36" t="s">
        <v>110</v>
      </c>
      <c r="C134" s="36">
        <v>0.253</v>
      </c>
      <c r="D134" s="36" t="s">
        <v>247</v>
      </c>
      <c r="E134" s="37">
        <f t="shared" si="6"/>
        <v>20.6253642384106</v>
      </c>
      <c r="F134" s="37">
        <v>0.81523178807947</v>
      </c>
      <c r="I134" s="36" t="s">
        <v>248</v>
      </c>
    </row>
    <row r="135" spans="1:9">
      <c r="A135" s="36" t="s">
        <v>184</v>
      </c>
      <c r="B135" s="36" t="s">
        <v>110</v>
      </c>
      <c r="C135" s="36">
        <v>0.01</v>
      </c>
      <c r="D135" s="36" t="s">
        <v>247</v>
      </c>
      <c r="E135" s="37">
        <f t="shared" si="6"/>
        <v>0.81523178807947</v>
      </c>
      <c r="F135" s="37">
        <v>0.81523178807947</v>
      </c>
      <c r="I135" s="36" t="s">
        <v>248</v>
      </c>
    </row>
    <row r="136" spans="1:9">
      <c r="A136" s="36" t="s">
        <v>184</v>
      </c>
      <c r="B136" s="36" t="s">
        <v>110</v>
      </c>
      <c r="C136" s="36">
        <v>0.006</v>
      </c>
      <c r="D136" s="36" t="s">
        <v>247</v>
      </c>
      <c r="E136" s="37">
        <f t="shared" si="6"/>
        <v>0.489139072847682</v>
      </c>
      <c r="F136" s="37">
        <v>0.81523178807947</v>
      </c>
      <c r="I136" s="36" t="s">
        <v>248</v>
      </c>
    </row>
    <row r="137" spans="1:9">
      <c r="A137" s="36" t="s">
        <v>184</v>
      </c>
      <c r="B137" s="36" t="s">
        <v>110</v>
      </c>
      <c r="C137" s="36">
        <v>0.027</v>
      </c>
      <c r="D137" s="36" t="s">
        <v>247</v>
      </c>
      <c r="E137" s="37">
        <f t="shared" si="6"/>
        <v>2.403</v>
      </c>
      <c r="F137" s="37">
        <v>0.89</v>
      </c>
      <c r="I137" s="36" t="s">
        <v>248</v>
      </c>
    </row>
    <row r="138" spans="1:9">
      <c r="A138" s="36" t="s">
        <v>112</v>
      </c>
      <c r="B138" s="36" t="s">
        <v>110</v>
      </c>
      <c r="C138" s="36">
        <v>0.01</v>
      </c>
      <c r="D138" s="36" t="s">
        <v>247</v>
      </c>
      <c r="E138" s="37">
        <f t="shared" si="6"/>
        <v>0.713333333333333</v>
      </c>
      <c r="F138" s="37">
        <v>0.713333333333333</v>
      </c>
      <c r="I138" s="36" t="s">
        <v>248</v>
      </c>
    </row>
    <row r="139" spans="1:9">
      <c r="A139" s="36" t="s">
        <v>112</v>
      </c>
      <c r="B139" s="36" t="s">
        <v>110</v>
      </c>
      <c r="C139" s="36">
        <v>0.017</v>
      </c>
      <c r="D139" s="36" t="s">
        <v>247</v>
      </c>
      <c r="E139" s="37">
        <f t="shared" si="6"/>
        <v>1.21266666666667</v>
      </c>
      <c r="F139" s="37">
        <v>0.713333333333333</v>
      </c>
      <c r="I139" s="36" t="s">
        <v>248</v>
      </c>
    </row>
    <row r="140" spans="1:9">
      <c r="A140" s="36" t="s">
        <v>112</v>
      </c>
      <c r="B140" s="36" t="s">
        <v>110</v>
      </c>
      <c r="C140" s="36">
        <v>0.071</v>
      </c>
      <c r="D140" s="36" t="s">
        <v>247</v>
      </c>
      <c r="E140" s="37">
        <f t="shared" si="6"/>
        <v>5.06466666666666</v>
      </c>
      <c r="F140" s="37">
        <v>0.713333333333333</v>
      </c>
      <c r="I140" s="36" t="s">
        <v>248</v>
      </c>
    </row>
    <row r="141" spans="1:9">
      <c r="A141" s="36" t="s">
        <v>126</v>
      </c>
      <c r="B141" s="36" t="s">
        <v>110</v>
      </c>
      <c r="C141" s="36">
        <v>0.018</v>
      </c>
      <c r="D141" s="36" t="s">
        <v>247</v>
      </c>
      <c r="E141" s="37">
        <f t="shared" si="6"/>
        <v>1.72285714285714</v>
      </c>
      <c r="F141" s="37">
        <v>0.957142857142857</v>
      </c>
      <c r="I141" s="36" t="s">
        <v>248</v>
      </c>
    </row>
    <row r="142" spans="1:9">
      <c r="A142" s="36" t="s">
        <v>126</v>
      </c>
      <c r="B142" s="36" t="s">
        <v>110</v>
      </c>
      <c r="C142" s="36">
        <v>0.01</v>
      </c>
      <c r="D142" s="36" t="s">
        <v>247</v>
      </c>
      <c r="E142" s="37">
        <f t="shared" si="6"/>
        <v>0.957142857142857</v>
      </c>
      <c r="F142" s="37">
        <v>0.957142857142857</v>
      </c>
      <c r="I142" s="36" t="s">
        <v>248</v>
      </c>
    </row>
    <row r="143" spans="1:9">
      <c r="A143" s="36" t="s">
        <v>249</v>
      </c>
      <c r="B143" s="36" t="s">
        <v>110</v>
      </c>
      <c r="C143" s="36">
        <v>0.014</v>
      </c>
      <c r="D143" s="36" t="s">
        <v>247</v>
      </c>
      <c r="E143" s="37">
        <f t="shared" si="6"/>
        <v>1.32964824120603</v>
      </c>
      <c r="F143" s="37">
        <v>0.949748743718593</v>
      </c>
      <c r="I143" s="36" t="s">
        <v>248</v>
      </c>
    </row>
    <row r="144" spans="1:9">
      <c r="A144" s="36" t="s">
        <v>249</v>
      </c>
      <c r="B144" s="36" t="s">
        <v>110</v>
      </c>
      <c r="C144" s="36">
        <v>0.021</v>
      </c>
      <c r="D144" s="36" t="s">
        <v>247</v>
      </c>
      <c r="E144" s="37">
        <f t="shared" si="6"/>
        <v>1.99447236180905</v>
      </c>
      <c r="F144" s="37">
        <v>0.949748743718593</v>
      </c>
      <c r="I144" s="36" t="s">
        <v>248</v>
      </c>
    </row>
    <row r="145" spans="1:9">
      <c r="A145" s="36" t="s">
        <v>249</v>
      </c>
      <c r="B145" s="36" t="s">
        <v>110</v>
      </c>
      <c r="C145" s="36">
        <v>0.011</v>
      </c>
      <c r="D145" s="36" t="s">
        <v>247</v>
      </c>
      <c r="E145" s="37">
        <f t="shared" si="6"/>
        <v>1.04472361809045</v>
      </c>
      <c r="F145" s="37">
        <v>0.949748743718593</v>
      </c>
      <c r="I145" s="36" t="s">
        <v>248</v>
      </c>
    </row>
    <row r="146" spans="1:9">
      <c r="A146" s="36" t="s">
        <v>137</v>
      </c>
      <c r="B146" s="36" t="s">
        <v>114</v>
      </c>
      <c r="C146" s="36">
        <v>5.97</v>
      </c>
      <c r="D146" s="36" t="s">
        <v>250</v>
      </c>
      <c r="E146" s="44">
        <f>5.97/320*28/44*100</f>
        <v>1.18721590909091</v>
      </c>
      <c r="I146" s="45" t="s">
        <v>138</v>
      </c>
    </row>
    <row r="147" spans="1:9">
      <c r="A147" s="36" t="s">
        <v>137</v>
      </c>
      <c r="B147" s="36" t="s">
        <v>114</v>
      </c>
      <c r="C147" s="36">
        <v>7.79</v>
      </c>
      <c r="D147" s="36" t="s">
        <v>250</v>
      </c>
      <c r="E147" s="44">
        <f>7.79/412*28/44*100</f>
        <v>1.20322153574581</v>
      </c>
      <c r="I147" s="45" t="s">
        <v>138</v>
      </c>
    </row>
    <row r="148" spans="1:9">
      <c r="A148" s="36" t="s">
        <v>137</v>
      </c>
      <c r="B148" s="36" t="s">
        <v>114</v>
      </c>
      <c r="C148" s="36">
        <v>6.38</v>
      </c>
      <c r="D148" s="36" t="s">
        <v>250</v>
      </c>
      <c r="E148" s="44">
        <f>6.38/291*28/44*100</f>
        <v>1.39518900343643</v>
      </c>
      <c r="I148" s="45" t="s">
        <v>138</v>
      </c>
    </row>
    <row r="149" spans="1:9">
      <c r="A149" s="36" t="s">
        <v>137</v>
      </c>
      <c r="B149" s="36" t="s">
        <v>114</v>
      </c>
      <c r="C149" s="36">
        <v>16.14</v>
      </c>
      <c r="D149" s="36" t="s">
        <v>250</v>
      </c>
      <c r="E149" s="44">
        <f>16.14/1845*28/44*100</f>
        <v>0.556688839615669</v>
      </c>
      <c r="I149" s="45" t="s">
        <v>138</v>
      </c>
    </row>
    <row r="150" spans="1:9">
      <c r="A150" s="36" t="s">
        <v>137</v>
      </c>
      <c r="B150" s="36" t="s">
        <v>114</v>
      </c>
      <c r="C150" s="36">
        <v>2.61</v>
      </c>
      <c r="D150" s="36" t="s">
        <v>250</v>
      </c>
      <c r="E150" s="44">
        <f>2.61/448*28/44*100</f>
        <v>0.370738636363636</v>
      </c>
      <c r="I150" s="45" t="s">
        <v>138</v>
      </c>
    </row>
    <row r="151" spans="1:9">
      <c r="A151" s="36" t="s">
        <v>137</v>
      </c>
      <c r="B151" s="36" t="s">
        <v>114</v>
      </c>
      <c r="C151" s="36">
        <v>19.6</v>
      </c>
      <c r="D151" s="36" t="s">
        <v>250</v>
      </c>
      <c r="E151" s="44">
        <f>19.6/529*28/44*100</f>
        <v>2.35779343529816</v>
      </c>
      <c r="I151" s="45" t="s">
        <v>138</v>
      </c>
    </row>
    <row r="152" spans="1:9">
      <c r="A152" s="36" t="s">
        <v>137</v>
      </c>
      <c r="B152" s="36" t="s">
        <v>114</v>
      </c>
      <c r="C152" s="36">
        <v>6.68</v>
      </c>
      <c r="D152" s="36" t="s">
        <v>250</v>
      </c>
      <c r="E152" s="44">
        <f>6.68/776*28/44*100</f>
        <v>0.547797563261481</v>
      </c>
      <c r="I152" s="45" t="s">
        <v>138</v>
      </c>
    </row>
    <row r="153" spans="1:9">
      <c r="A153" s="36" t="s">
        <v>137</v>
      </c>
      <c r="B153" s="36" t="s">
        <v>114</v>
      </c>
      <c r="C153" s="36">
        <v>7.58</v>
      </c>
      <c r="D153" s="36" t="s">
        <v>250</v>
      </c>
      <c r="E153" s="44">
        <f>7.58/795*28/44*100</f>
        <v>0.60674671240709</v>
      </c>
      <c r="I153" s="45" t="s">
        <v>138</v>
      </c>
    </row>
    <row r="154" spans="1:9">
      <c r="A154" s="36" t="s">
        <v>137</v>
      </c>
      <c r="B154" s="36" t="s">
        <v>114</v>
      </c>
      <c r="C154" s="36">
        <v>68.28</v>
      </c>
      <c r="D154" s="36" t="s">
        <v>250</v>
      </c>
      <c r="E154" s="44">
        <f>68.28/3852*28/44*100</f>
        <v>1.1280090625885</v>
      </c>
      <c r="I154" s="45" t="s">
        <v>138</v>
      </c>
    </row>
    <row r="155" spans="1:9">
      <c r="A155" s="36" t="s">
        <v>137</v>
      </c>
      <c r="B155" s="36" t="s">
        <v>114</v>
      </c>
      <c r="C155" s="36">
        <v>13.05</v>
      </c>
      <c r="D155" s="36" t="s">
        <v>250</v>
      </c>
      <c r="E155" s="44">
        <f>13.05/340*28/44*100</f>
        <v>2.44251336898396</v>
      </c>
      <c r="I155" s="45" t="s">
        <v>138</v>
      </c>
    </row>
    <row r="156" spans="1:9">
      <c r="A156" s="36" t="s">
        <v>137</v>
      </c>
      <c r="B156" s="36" t="s">
        <v>114</v>
      </c>
      <c r="C156" s="36">
        <v>5.43</v>
      </c>
      <c r="D156" s="36" t="s">
        <v>250</v>
      </c>
      <c r="E156" s="44">
        <f>5.43/143*28/44*100</f>
        <v>2.41640178003814</v>
      </c>
      <c r="I156" s="45" t="s">
        <v>138</v>
      </c>
    </row>
    <row r="157" spans="1:9">
      <c r="A157" s="36" t="s">
        <v>137</v>
      </c>
      <c r="B157" s="36" t="s">
        <v>114</v>
      </c>
      <c r="C157" s="36">
        <v>11.91</v>
      </c>
      <c r="D157" s="36" t="s">
        <v>250</v>
      </c>
      <c r="E157" s="44">
        <f>11.91/930*28/44*100</f>
        <v>0.814956011730205</v>
      </c>
      <c r="I157" s="45" t="s">
        <v>138</v>
      </c>
    </row>
    <row r="158" spans="1:9">
      <c r="A158" s="36" t="s">
        <v>108</v>
      </c>
      <c r="B158" s="36" t="s">
        <v>110</v>
      </c>
      <c r="E158" s="37">
        <v>0.120860343714446</v>
      </c>
      <c r="H158" s="36" t="s">
        <v>214</v>
      </c>
      <c r="I158" s="36" t="s">
        <v>251</v>
      </c>
    </row>
    <row r="159" spans="1:9">
      <c r="A159" s="42" t="s">
        <v>139</v>
      </c>
      <c r="B159" s="36" t="s">
        <v>110</v>
      </c>
      <c r="C159" s="36">
        <v>3.12</v>
      </c>
      <c r="D159" s="36" t="s">
        <v>252</v>
      </c>
      <c r="E159" s="37">
        <f>C159*100/1000</f>
        <v>0.312</v>
      </c>
      <c r="I159" s="36" t="s">
        <v>141</v>
      </c>
    </row>
    <row r="160" spans="1:9">
      <c r="A160" s="36" t="s">
        <v>112</v>
      </c>
      <c r="B160" s="36" t="s">
        <v>110</v>
      </c>
      <c r="C160" s="36">
        <v>0.2</v>
      </c>
      <c r="D160" s="36" t="s">
        <v>238</v>
      </c>
      <c r="E160" s="37">
        <v>0.2</v>
      </c>
      <c r="I160" s="36" t="s">
        <v>253</v>
      </c>
    </row>
    <row r="161" spans="1:9">
      <c r="A161" s="36" t="s">
        <v>108</v>
      </c>
      <c r="B161" s="36" t="s">
        <v>110</v>
      </c>
      <c r="C161" s="36">
        <v>8</v>
      </c>
      <c r="D161" s="36" t="s">
        <v>238</v>
      </c>
      <c r="E161" s="37">
        <v>8</v>
      </c>
      <c r="I161" s="36" t="s">
        <v>253</v>
      </c>
    </row>
    <row r="162" spans="1:9">
      <c r="A162" s="36" t="s">
        <v>117</v>
      </c>
      <c r="B162" s="36" t="s">
        <v>110</v>
      </c>
      <c r="C162" s="36">
        <v>0.1</v>
      </c>
      <c r="D162" s="36" t="s">
        <v>238</v>
      </c>
      <c r="E162" s="37">
        <v>0.1</v>
      </c>
      <c r="I162" s="36" t="s">
        <v>253</v>
      </c>
    </row>
    <row r="163" spans="1:9">
      <c r="A163" s="36" t="s">
        <v>117</v>
      </c>
      <c r="B163" s="36" t="s">
        <v>110</v>
      </c>
      <c r="C163" s="36">
        <v>0.1</v>
      </c>
      <c r="D163" s="36" t="s">
        <v>238</v>
      </c>
      <c r="E163" s="37">
        <v>0.1</v>
      </c>
      <c r="I163" s="36" t="s">
        <v>253</v>
      </c>
    </row>
    <row r="164" spans="1:9">
      <c r="A164" s="36" t="s">
        <v>126</v>
      </c>
      <c r="B164" s="36" t="s">
        <v>110</v>
      </c>
      <c r="C164" s="36">
        <v>0.3</v>
      </c>
      <c r="D164" s="36" t="s">
        <v>238</v>
      </c>
      <c r="E164" s="37">
        <v>0.3</v>
      </c>
      <c r="I164" s="36" t="s">
        <v>253</v>
      </c>
    </row>
    <row r="165" spans="1:9">
      <c r="A165" s="36" t="s">
        <v>108</v>
      </c>
      <c r="B165" s="36" t="s">
        <v>110</v>
      </c>
      <c r="C165" s="36">
        <v>0.3</v>
      </c>
      <c r="D165" s="36" t="s">
        <v>238</v>
      </c>
      <c r="E165" s="37">
        <v>0.3</v>
      </c>
      <c r="I165" s="36" t="s">
        <v>253</v>
      </c>
    </row>
    <row r="166" spans="1:9">
      <c r="A166" s="36" t="s">
        <v>112</v>
      </c>
      <c r="B166" s="36" t="s">
        <v>110</v>
      </c>
      <c r="E166" s="37">
        <v>20.6896551724138</v>
      </c>
      <c r="H166" s="36" t="s">
        <v>214</v>
      </c>
      <c r="I166" s="36" t="s">
        <v>254</v>
      </c>
    </row>
    <row r="167" spans="1:9">
      <c r="A167" s="36" t="s">
        <v>108</v>
      </c>
      <c r="B167" s="36" t="s">
        <v>110</v>
      </c>
      <c r="C167" s="36">
        <v>1.7</v>
      </c>
      <c r="D167" s="36" t="s">
        <v>238</v>
      </c>
      <c r="E167" s="37">
        <v>1.7</v>
      </c>
      <c r="I167" s="36" t="s">
        <v>255</v>
      </c>
    </row>
    <row r="168" spans="1:9">
      <c r="A168" s="36" t="s">
        <v>136</v>
      </c>
      <c r="B168" s="36" t="s">
        <v>110</v>
      </c>
      <c r="C168" s="36">
        <v>1.4</v>
      </c>
      <c r="D168" s="36" t="s">
        <v>238</v>
      </c>
      <c r="E168" s="37">
        <v>1.4</v>
      </c>
      <c r="I168" s="36" t="s">
        <v>255</v>
      </c>
    </row>
    <row r="169" spans="1:9">
      <c r="A169" s="36" t="s">
        <v>117</v>
      </c>
      <c r="B169" s="36" t="s">
        <v>110</v>
      </c>
      <c r="C169" s="36">
        <v>1</v>
      </c>
      <c r="D169" s="36" t="s">
        <v>238</v>
      </c>
      <c r="E169" s="37">
        <v>1</v>
      </c>
      <c r="I169" s="36" t="s">
        <v>255</v>
      </c>
    </row>
    <row r="170" spans="1:9">
      <c r="A170" s="36" t="s">
        <v>112</v>
      </c>
      <c r="B170" s="36" t="s">
        <v>110</v>
      </c>
      <c r="C170" s="36">
        <v>2.4</v>
      </c>
      <c r="D170" s="36" t="s">
        <v>238</v>
      </c>
      <c r="E170" s="37">
        <v>2.4</v>
      </c>
      <c r="I170" s="36" t="s">
        <v>255</v>
      </c>
    </row>
    <row r="171" spans="1:9">
      <c r="A171" s="36" t="s">
        <v>117</v>
      </c>
      <c r="B171" s="36" t="s">
        <v>110</v>
      </c>
      <c r="E171" s="37">
        <v>0.837209302325581</v>
      </c>
      <c r="H171" s="36" t="s">
        <v>214</v>
      </c>
      <c r="I171" s="36" t="s">
        <v>256</v>
      </c>
    </row>
    <row r="172" spans="1:9">
      <c r="A172" s="36" t="s">
        <v>117</v>
      </c>
      <c r="B172" s="36" t="s">
        <v>110</v>
      </c>
      <c r="E172" s="37">
        <v>0.802325581395349</v>
      </c>
      <c r="H172" s="36" t="s">
        <v>214</v>
      </c>
      <c r="I172" s="36" t="s">
        <v>256</v>
      </c>
    </row>
    <row r="173" spans="1:9">
      <c r="A173" s="36" t="s">
        <v>117</v>
      </c>
      <c r="B173" s="36" t="s">
        <v>110</v>
      </c>
      <c r="E173" s="37">
        <v>0.13953488372093</v>
      </c>
      <c r="H173" s="36" t="s">
        <v>214</v>
      </c>
      <c r="I173" s="36" t="s">
        <v>256</v>
      </c>
    </row>
    <row r="174" spans="1:9">
      <c r="A174" s="36" t="s">
        <v>137</v>
      </c>
      <c r="B174" s="36" t="s">
        <v>110</v>
      </c>
      <c r="C174" s="36">
        <v>2.8</v>
      </c>
      <c r="D174" s="36" t="s">
        <v>238</v>
      </c>
      <c r="E174" s="37">
        <v>2.8</v>
      </c>
      <c r="I174" s="36" t="s">
        <v>257</v>
      </c>
    </row>
    <row r="175" spans="1:9">
      <c r="A175" s="36" t="s">
        <v>137</v>
      </c>
      <c r="B175" s="36" t="s">
        <v>114</v>
      </c>
      <c r="C175" s="36">
        <v>0.22</v>
      </c>
      <c r="D175" s="36" t="s">
        <v>211</v>
      </c>
      <c r="E175" s="37">
        <v>0.22</v>
      </c>
      <c r="I175" s="36" t="s">
        <v>258</v>
      </c>
    </row>
    <row r="176" spans="1:9">
      <c r="A176" s="36" t="s">
        <v>112</v>
      </c>
      <c r="B176" s="36" t="s">
        <v>110</v>
      </c>
      <c r="C176" s="36">
        <v>4.1</v>
      </c>
      <c r="D176" s="36" t="s">
        <v>259</v>
      </c>
      <c r="E176" s="37">
        <f>C176*0.7*F176</f>
        <v>2.66049</v>
      </c>
      <c r="F176" s="37">
        <v>0.927</v>
      </c>
      <c r="I176" s="36" t="s">
        <v>260</v>
      </c>
    </row>
    <row r="177" spans="1:9">
      <c r="A177" s="36" t="s">
        <v>126</v>
      </c>
      <c r="B177" s="36" t="s">
        <v>110</v>
      </c>
      <c r="C177" s="36">
        <v>6.34</v>
      </c>
      <c r="D177" s="36" t="s">
        <v>261</v>
      </c>
      <c r="E177" s="37">
        <f>C177*0.7</f>
        <v>4.438</v>
      </c>
      <c r="I177" s="35" t="s">
        <v>262</v>
      </c>
    </row>
    <row r="178" spans="1:9">
      <c r="A178" s="36" t="s">
        <v>126</v>
      </c>
      <c r="B178" s="36" t="s">
        <v>110</v>
      </c>
      <c r="C178" s="36">
        <v>8.83</v>
      </c>
      <c r="D178" s="36" t="s">
        <v>261</v>
      </c>
      <c r="E178" s="37">
        <f>C178*0.7</f>
        <v>6.181</v>
      </c>
      <c r="I178" s="35" t="s">
        <v>262</v>
      </c>
    </row>
    <row r="179" spans="1:9">
      <c r="A179" s="36" t="s">
        <v>263</v>
      </c>
      <c r="B179" s="36" t="s">
        <v>114</v>
      </c>
      <c r="E179" s="37">
        <v>0.00702046332046332</v>
      </c>
      <c r="H179" s="36" t="s">
        <v>214</v>
      </c>
      <c r="I179" s="36" t="s">
        <v>264</v>
      </c>
    </row>
    <row r="180" spans="1:9">
      <c r="A180" s="36" t="s">
        <v>108</v>
      </c>
      <c r="B180" s="36" t="s">
        <v>110</v>
      </c>
      <c r="C180" s="36">
        <v>1.3</v>
      </c>
      <c r="D180" s="36" t="s">
        <v>211</v>
      </c>
      <c r="E180" s="37">
        <v>1.3</v>
      </c>
      <c r="I180" s="36" t="s">
        <v>265</v>
      </c>
    </row>
    <row r="181" spans="1:9">
      <c r="A181" s="36" t="s">
        <v>108</v>
      </c>
      <c r="B181" s="36" t="s">
        <v>110</v>
      </c>
      <c r="C181" s="36">
        <v>1</v>
      </c>
      <c r="D181" s="36" t="s">
        <v>211</v>
      </c>
      <c r="E181" s="37">
        <v>1</v>
      </c>
      <c r="I181" s="36" t="s">
        <v>265</v>
      </c>
    </row>
    <row r="182" spans="1:9">
      <c r="A182" s="36" t="s">
        <v>137</v>
      </c>
      <c r="B182" s="36" t="s">
        <v>110</v>
      </c>
      <c r="C182" s="36">
        <v>1.7</v>
      </c>
      <c r="D182" s="36" t="s">
        <v>211</v>
      </c>
      <c r="E182" s="37">
        <v>1.7</v>
      </c>
      <c r="I182" s="36" t="s">
        <v>265</v>
      </c>
    </row>
    <row r="183" spans="1:9">
      <c r="A183" s="36" t="s">
        <v>137</v>
      </c>
      <c r="B183" s="36" t="s">
        <v>110</v>
      </c>
      <c r="C183" s="36">
        <v>0.09</v>
      </c>
      <c r="D183" s="36" t="s">
        <v>211</v>
      </c>
      <c r="E183" s="37">
        <v>0.09</v>
      </c>
      <c r="I183" s="36" t="s">
        <v>265</v>
      </c>
    </row>
    <row r="184" spans="1:9">
      <c r="A184" s="36" t="s">
        <v>126</v>
      </c>
      <c r="B184" s="36" t="s">
        <v>110</v>
      </c>
      <c r="C184" s="36">
        <v>0.048</v>
      </c>
      <c r="D184" s="36" t="s">
        <v>211</v>
      </c>
      <c r="E184" s="37">
        <v>0.048</v>
      </c>
      <c r="I184" s="35" t="s">
        <v>266</v>
      </c>
    </row>
    <row r="185" spans="1:9">
      <c r="A185" s="36" t="s">
        <v>126</v>
      </c>
      <c r="B185" s="36" t="s">
        <v>110</v>
      </c>
      <c r="C185" s="36">
        <v>0.034</v>
      </c>
      <c r="D185" s="36" t="s">
        <v>211</v>
      </c>
      <c r="E185" s="37">
        <v>0.034</v>
      </c>
      <c r="I185" s="35" t="s">
        <v>266</v>
      </c>
    </row>
    <row r="186" spans="1:9">
      <c r="A186" s="36" t="s">
        <v>126</v>
      </c>
      <c r="B186" s="36" t="s">
        <v>110</v>
      </c>
      <c r="C186" s="36">
        <v>0.018</v>
      </c>
      <c r="D186" s="36" t="s">
        <v>211</v>
      </c>
      <c r="E186" s="37">
        <v>0.018</v>
      </c>
      <c r="I186" s="35" t="s">
        <v>266</v>
      </c>
    </row>
    <row r="187" spans="1:9">
      <c r="A187" s="36" t="s">
        <v>126</v>
      </c>
      <c r="B187" s="36" t="s">
        <v>110</v>
      </c>
      <c r="C187" s="36">
        <v>0.129</v>
      </c>
      <c r="D187" s="36" t="s">
        <v>211</v>
      </c>
      <c r="E187" s="37">
        <v>0.129</v>
      </c>
      <c r="I187" s="35" t="s">
        <v>266</v>
      </c>
    </row>
    <row r="188" spans="1:9">
      <c r="A188" s="36" t="s">
        <v>126</v>
      </c>
      <c r="B188" s="36" t="s">
        <v>114</v>
      </c>
      <c r="C188" s="36">
        <v>1.605</v>
      </c>
      <c r="D188" s="36" t="s">
        <v>267</v>
      </c>
      <c r="E188" s="37">
        <f>C188*28/44/10</f>
        <v>0.102136363636364</v>
      </c>
      <c r="I188" s="36" t="s">
        <v>143</v>
      </c>
    </row>
    <row r="189" spans="1:9">
      <c r="A189" s="36" t="s">
        <v>108</v>
      </c>
      <c r="B189" s="36" t="s">
        <v>114</v>
      </c>
      <c r="C189" s="36">
        <v>1.256</v>
      </c>
      <c r="D189" s="36" t="s">
        <v>267</v>
      </c>
      <c r="E189" s="37">
        <f>C189*28/44/10</f>
        <v>0.0799272727272727</v>
      </c>
      <c r="I189" s="36" t="s">
        <v>143</v>
      </c>
    </row>
    <row r="190" spans="1:9">
      <c r="A190" s="36" t="s">
        <v>117</v>
      </c>
      <c r="B190" s="36" t="s">
        <v>110</v>
      </c>
      <c r="C190" s="36">
        <v>0.302</v>
      </c>
      <c r="D190" s="36" t="s">
        <v>243</v>
      </c>
      <c r="E190" s="37">
        <f>C190*F190</f>
        <v>0.217138</v>
      </c>
      <c r="F190" s="37">
        <v>0.719</v>
      </c>
      <c r="I190" s="36" t="s">
        <v>268</v>
      </c>
    </row>
    <row r="191" spans="1:9">
      <c r="A191" s="36" t="s">
        <v>117</v>
      </c>
      <c r="B191" s="36" t="s">
        <v>110</v>
      </c>
      <c r="C191" s="36">
        <v>0.322</v>
      </c>
      <c r="D191" s="36" t="s">
        <v>243</v>
      </c>
      <c r="E191" s="37">
        <f>C191*F191</f>
        <v>0.229264</v>
      </c>
      <c r="F191" s="37">
        <v>0.712</v>
      </c>
      <c r="I191" s="36" t="s">
        <v>268</v>
      </c>
    </row>
    <row r="192" spans="1:9">
      <c r="A192" s="36" t="s">
        <v>117</v>
      </c>
      <c r="B192" s="36" t="s">
        <v>110</v>
      </c>
      <c r="C192" s="36">
        <v>0.087</v>
      </c>
      <c r="D192" s="36" t="s">
        <v>243</v>
      </c>
      <c r="E192" s="37">
        <f>C192*F192</f>
        <v>0.05655</v>
      </c>
      <c r="F192" s="37">
        <v>0.65</v>
      </c>
      <c r="I192" s="36" t="s">
        <v>268</v>
      </c>
    </row>
    <row r="193" spans="1:9">
      <c r="A193" s="36" t="s">
        <v>112</v>
      </c>
      <c r="B193" s="36" t="s">
        <v>110</v>
      </c>
      <c r="C193" s="36">
        <v>0.4</v>
      </c>
      <c r="D193" s="36" t="s">
        <v>269</v>
      </c>
      <c r="E193" s="37">
        <v>0.4</v>
      </c>
      <c r="I193" s="36" t="s">
        <v>270</v>
      </c>
    </row>
    <row r="194" spans="1:9">
      <c r="A194" s="36" t="s">
        <v>108</v>
      </c>
      <c r="B194" s="36" t="s">
        <v>110</v>
      </c>
      <c r="C194" s="36">
        <v>0.08</v>
      </c>
      <c r="D194" s="36" t="s">
        <v>211</v>
      </c>
      <c r="E194" s="37">
        <f>C194</f>
        <v>0.08</v>
      </c>
      <c r="I194" s="36" t="s">
        <v>271</v>
      </c>
    </row>
    <row r="195" spans="1:9">
      <c r="A195" s="36" t="s">
        <v>108</v>
      </c>
      <c r="B195" s="36" t="s">
        <v>110</v>
      </c>
      <c r="C195" s="36">
        <v>0.05</v>
      </c>
      <c r="D195" s="36" t="s">
        <v>211</v>
      </c>
      <c r="E195" s="37">
        <f>C195</f>
        <v>0.05</v>
      </c>
      <c r="I195" s="36" t="s">
        <v>271</v>
      </c>
    </row>
    <row r="196" spans="1:9">
      <c r="A196" s="36" t="s">
        <v>108</v>
      </c>
      <c r="B196" s="36" t="s">
        <v>110</v>
      </c>
      <c r="C196" s="36">
        <v>0.01</v>
      </c>
      <c r="D196" s="36" t="s">
        <v>211</v>
      </c>
      <c r="E196" s="37">
        <f>C196</f>
        <v>0.01</v>
      </c>
      <c r="I196" s="36" t="s">
        <v>271</v>
      </c>
    </row>
    <row r="197" spans="1:9">
      <c r="A197" s="36" t="s">
        <v>126</v>
      </c>
      <c r="B197" s="36" t="s">
        <v>114</v>
      </c>
      <c r="C197" s="36">
        <v>17.6</v>
      </c>
      <c r="D197" s="36" t="s">
        <v>252</v>
      </c>
      <c r="E197" s="37">
        <f t="shared" ref="E197:E208" si="7">C197/10</f>
        <v>1.76</v>
      </c>
      <c r="I197" s="36" t="s">
        <v>272</v>
      </c>
    </row>
    <row r="198" spans="1:9">
      <c r="A198" s="36" t="s">
        <v>126</v>
      </c>
      <c r="B198" s="36" t="s">
        <v>114</v>
      </c>
      <c r="C198" s="36">
        <v>14.9</v>
      </c>
      <c r="D198" s="36" t="s">
        <v>252</v>
      </c>
      <c r="E198" s="37">
        <f t="shared" si="7"/>
        <v>1.49</v>
      </c>
      <c r="I198" s="36" t="s">
        <v>272</v>
      </c>
    </row>
    <row r="199" spans="1:9">
      <c r="A199" s="36" t="s">
        <v>126</v>
      </c>
      <c r="B199" s="36" t="s">
        <v>114</v>
      </c>
      <c r="C199" s="36">
        <v>20</v>
      </c>
      <c r="D199" s="36" t="s">
        <v>252</v>
      </c>
      <c r="E199" s="37">
        <f t="shared" si="7"/>
        <v>2</v>
      </c>
      <c r="I199" s="36" t="s">
        <v>272</v>
      </c>
    </row>
    <row r="200" spans="1:9">
      <c r="A200" s="36" t="s">
        <v>126</v>
      </c>
      <c r="B200" s="36" t="s">
        <v>114</v>
      </c>
      <c r="C200" s="36">
        <v>17.6</v>
      </c>
      <c r="D200" s="36" t="s">
        <v>252</v>
      </c>
      <c r="E200" s="37">
        <f t="shared" si="7"/>
        <v>1.76</v>
      </c>
      <c r="I200" s="36" t="s">
        <v>272</v>
      </c>
    </row>
    <row r="201" spans="1:9">
      <c r="A201" s="36" t="s">
        <v>126</v>
      </c>
      <c r="B201" s="36" t="s">
        <v>114</v>
      </c>
      <c r="C201" s="36">
        <v>15.5</v>
      </c>
      <c r="D201" s="36" t="s">
        <v>252</v>
      </c>
      <c r="E201" s="37">
        <f t="shared" si="7"/>
        <v>1.55</v>
      </c>
      <c r="I201" s="36" t="s">
        <v>272</v>
      </c>
    </row>
    <row r="202" spans="1:9">
      <c r="A202" s="36" t="s">
        <v>126</v>
      </c>
      <c r="B202" s="36" t="s">
        <v>114</v>
      </c>
      <c r="C202" s="36">
        <v>21.5</v>
      </c>
      <c r="D202" s="36" t="s">
        <v>252</v>
      </c>
      <c r="E202" s="37">
        <f t="shared" si="7"/>
        <v>2.15</v>
      </c>
      <c r="I202" s="36" t="s">
        <v>272</v>
      </c>
    </row>
    <row r="203" spans="1:9">
      <c r="A203" s="36" t="s">
        <v>126</v>
      </c>
      <c r="B203" s="36" t="s">
        <v>114</v>
      </c>
      <c r="C203" s="36">
        <v>20.4</v>
      </c>
      <c r="D203" s="36" t="s">
        <v>252</v>
      </c>
      <c r="E203" s="37">
        <f t="shared" si="7"/>
        <v>2.04</v>
      </c>
      <c r="I203" s="36" t="s">
        <v>272</v>
      </c>
    </row>
    <row r="204" spans="1:9">
      <c r="A204" s="36" t="s">
        <v>126</v>
      </c>
      <c r="B204" s="36" t="s">
        <v>114</v>
      </c>
      <c r="C204" s="36">
        <v>20.1</v>
      </c>
      <c r="D204" s="36" t="s">
        <v>252</v>
      </c>
      <c r="E204" s="37">
        <f t="shared" si="7"/>
        <v>2.01</v>
      </c>
      <c r="I204" s="36" t="s">
        <v>272</v>
      </c>
    </row>
    <row r="205" spans="1:9">
      <c r="A205" s="36" t="s">
        <v>126</v>
      </c>
      <c r="B205" s="36" t="s">
        <v>114</v>
      </c>
      <c r="C205" s="36">
        <v>19.4</v>
      </c>
      <c r="D205" s="36" t="s">
        <v>252</v>
      </c>
      <c r="E205" s="37">
        <f t="shared" si="7"/>
        <v>1.94</v>
      </c>
      <c r="I205" s="36" t="s">
        <v>272</v>
      </c>
    </row>
    <row r="206" spans="1:9">
      <c r="A206" s="36" t="s">
        <v>126</v>
      </c>
      <c r="B206" s="36" t="s">
        <v>114</v>
      </c>
      <c r="C206" s="36">
        <v>18.6</v>
      </c>
      <c r="D206" s="36" t="s">
        <v>252</v>
      </c>
      <c r="E206" s="37">
        <f t="shared" si="7"/>
        <v>1.86</v>
      </c>
      <c r="I206" s="36" t="s">
        <v>272</v>
      </c>
    </row>
    <row r="207" spans="1:9">
      <c r="A207" s="36" t="s">
        <v>126</v>
      </c>
      <c r="B207" s="36" t="s">
        <v>114</v>
      </c>
      <c r="C207" s="36">
        <v>28.4</v>
      </c>
      <c r="D207" s="36" t="s">
        <v>252</v>
      </c>
      <c r="E207" s="37">
        <f t="shared" si="7"/>
        <v>2.84</v>
      </c>
      <c r="I207" s="36" t="s">
        <v>272</v>
      </c>
    </row>
    <row r="208" spans="1:9">
      <c r="A208" s="36" t="s">
        <v>126</v>
      </c>
      <c r="B208" s="36" t="s">
        <v>114</v>
      </c>
      <c r="C208" s="36">
        <v>15.5</v>
      </c>
      <c r="D208" s="36" t="s">
        <v>252</v>
      </c>
      <c r="E208" s="37">
        <f t="shared" si="7"/>
        <v>1.55</v>
      </c>
      <c r="I208" s="36" t="s">
        <v>272</v>
      </c>
    </row>
    <row r="209" spans="1:9">
      <c r="A209" s="36" t="s">
        <v>126</v>
      </c>
      <c r="B209" s="36" t="s">
        <v>110</v>
      </c>
      <c r="E209" s="37">
        <v>2.05058695575865</v>
      </c>
      <c r="H209" s="36" t="s">
        <v>214</v>
      </c>
      <c r="I209" s="36" t="s">
        <v>273</v>
      </c>
    </row>
    <row r="210" spans="1:9">
      <c r="A210" s="36" t="s">
        <v>108</v>
      </c>
      <c r="B210" s="36" t="s">
        <v>114</v>
      </c>
      <c r="C210" s="36">
        <f>(18300+517000)/2</f>
        <v>267650</v>
      </c>
      <c r="D210" s="36" t="s">
        <v>119</v>
      </c>
      <c r="E210" s="37">
        <f>C210/(798*32.9*3785.41*365/1000)*100</f>
        <v>0.737840804034076</v>
      </c>
      <c r="I210" s="36" t="s">
        <v>145</v>
      </c>
    </row>
    <row r="211" spans="1:9">
      <c r="A211" s="36" t="s">
        <v>126</v>
      </c>
      <c r="B211" s="36" t="s">
        <v>110</v>
      </c>
      <c r="E211" s="37">
        <v>10.6248410210479</v>
      </c>
      <c r="H211" s="36" t="s">
        <v>214</v>
      </c>
      <c r="I211" s="36" t="s">
        <v>274</v>
      </c>
    </row>
    <row r="212" spans="1:9">
      <c r="A212" s="36" t="s">
        <v>126</v>
      </c>
      <c r="B212" s="36" t="s">
        <v>110</v>
      </c>
      <c r="E212" s="37">
        <v>1.55844155844156</v>
      </c>
      <c r="H212" s="36" t="s">
        <v>214</v>
      </c>
      <c r="I212" s="36" t="s">
        <v>274</v>
      </c>
    </row>
    <row r="213" spans="1:9">
      <c r="A213" s="36" t="s">
        <v>126</v>
      </c>
      <c r="B213" s="36" t="s">
        <v>114</v>
      </c>
      <c r="C213" s="36">
        <f>(10000+21000)/2</f>
        <v>15500</v>
      </c>
      <c r="D213" s="35" t="s">
        <v>146</v>
      </c>
      <c r="E213" s="37">
        <f>110*(C213/298)/1000000*86400/13200*100*28/44</f>
        <v>2.38316046369738</v>
      </c>
      <c r="I213" s="36" t="s">
        <v>148</v>
      </c>
    </row>
    <row r="214" spans="1:9">
      <c r="A214" s="36" t="s">
        <v>137</v>
      </c>
      <c r="B214" s="36" t="s">
        <v>114</v>
      </c>
      <c r="E214" s="37">
        <v>2.88648760330579</v>
      </c>
      <c r="G214" s="37">
        <v>0.898085980559174</v>
      </c>
      <c r="H214" s="36" t="s">
        <v>214</v>
      </c>
      <c r="I214" s="36" t="s">
        <v>150</v>
      </c>
    </row>
    <row r="215" spans="1:9">
      <c r="A215" s="36" t="s">
        <v>154</v>
      </c>
      <c r="B215" s="36" t="s">
        <v>110</v>
      </c>
      <c r="C215" s="36">
        <v>13.78</v>
      </c>
      <c r="D215" s="36" t="s">
        <v>275</v>
      </c>
      <c r="E215" s="37">
        <f>C215*1000/(250000*45)*28/44*100</f>
        <v>0.0779474747474748</v>
      </c>
      <c r="I215" s="36" t="s">
        <v>276</v>
      </c>
    </row>
    <row r="216" spans="1:9">
      <c r="A216" s="36" t="s">
        <v>126</v>
      </c>
      <c r="B216" s="36" t="s">
        <v>110</v>
      </c>
      <c r="C216" s="36">
        <v>6.52</v>
      </c>
      <c r="D216" s="36" t="s">
        <v>275</v>
      </c>
      <c r="E216" s="37">
        <f>C216*1000/(150000*20/0.7)*28/44*100</f>
        <v>0.0968121212121212</v>
      </c>
      <c r="I216" s="36" t="s">
        <v>276</v>
      </c>
    </row>
    <row r="217" spans="1:9">
      <c r="A217" s="36" t="s">
        <v>126</v>
      </c>
      <c r="B217" s="36" t="s">
        <v>110</v>
      </c>
      <c r="C217" s="36">
        <v>0.8</v>
      </c>
      <c r="D217" s="36" t="s">
        <v>211</v>
      </c>
      <c r="E217" s="37">
        <v>0.8</v>
      </c>
      <c r="I217" s="36" t="s">
        <v>277</v>
      </c>
    </row>
    <row r="218" spans="1:9">
      <c r="A218" s="36" t="s">
        <v>126</v>
      </c>
      <c r="B218" s="36" t="s">
        <v>110</v>
      </c>
      <c r="C218" s="36">
        <v>16.133</v>
      </c>
      <c r="D218" s="36" t="s">
        <v>278</v>
      </c>
      <c r="E218" s="37">
        <f t="shared" ref="E218:E232" si="8">C218*1000*28/44/(250000*30)*100*0.7</f>
        <v>0.0958202424242424</v>
      </c>
      <c r="H218" s="35" t="s">
        <v>279</v>
      </c>
      <c r="I218" s="35" t="s">
        <v>153</v>
      </c>
    </row>
    <row r="219" spans="1:9">
      <c r="A219" s="36" t="s">
        <v>126</v>
      </c>
      <c r="B219" s="36" t="s">
        <v>110</v>
      </c>
      <c r="C219" s="36">
        <v>20.489</v>
      </c>
      <c r="D219" s="36" t="s">
        <v>278</v>
      </c>
      <c r="E219" s="37">
        <f t="shared" si="8"/>
        <v>0.121692242424242</v>
      </c>
      <c r="H219" s="35" t="s">
        <v>279</v>
      </c>
      <c r="I219" s="35" t="s">
        <v>153</v>
      </c>
    </row>
    <row r="220" spans="1:9">
      <c r="A220" s="36" t="s">
        <v>126</v>
      </c>
      <c r="B220" s="36" t="s">
        <v>110</v>
      </c>
      <c r="C220" s="36">
        <v>18.219</v>
      </c>
      <c r="D220" s="36" t="s">
        <v>278</v>
      </c>
      <c r="E220" s="37">
        <f t="shared" si="8"/>
        <v>0.108209818181818</v>
      </c>
      <c r="H220" s="35" t="s">
        <v>279</v>
      </c>
      <c r="I220" s="35" t="s">
        <v>153</v>
      </c>
    </row>
    <row r="221" spans="1:9">
      <c r="A221" s="36" t="s">
        <v>126</v>
      </c>
      <c r="B221" s="36" t="s">
        <v>110</v>
      </c>
      <c r="C221" s="36">
        <v>13.496</v>
      </c>
      <c r="D221" s="36" t="s">
        <v>278</v>
      </c>
      <c r="E221" s="37">
        <f t="shared" si="8"/>
        <v>0.0801580606060606</v>
      </c>
      <c r="H221" s="35" t="s">
        <v>279</v>
      </c>
      <c r="I221" s="35" t="s">
        <v>153</v>
      </c>
    </row>
    <row r="222" spans="1:9">
      <c r="A222" s="36" t="s">
        <v>126</v>
      </c>
      <c r="B222" s="36" t="s">
        <v>110</v>
      </c>
      <c r="C222" s="36">
        <v>10.122</v>
      </c>
      <c r="D222" s="36" t="s">
        <v>278</v>
      </c>
      <c r="E222" s="37">
        <f t="shared" si="8"/>
        <v>0.0601185454545454</v>
      </c>
      <c r="H222" s="35" t="s">
        <v>279</v>
      </c>
      <c r="I222" s="35" t="s">
        <v>153</v>
      </c>
    </row>
    <row r="223" spans="1:9">
      <c r="A223" s="36" t="s">
        <v>126</v>
      </c>
      <c r="B223" s="36" t="s">
        <v>110</v>
      </c>
      <c r="C223" s="36">
        <v>9.876</v>
      </c>
      <c r="D223" s="36" t="s">
        <v>278</v>
      </c>
      <c r="E223" s="37">
        <f t="shared" si="8"/>
        <v>0.0586574545454545</v>
      </c>
      <c r="H223" s="35" t="s">
        <v>279</v>
      </c>
      <c r="I223" s="35" t="s">
        <v>153</v>
      </c>
    </row>
    <row r="224" spans="1:9">
      <c r="A224" s="36" t="s">
        <v>126</v>
      </c>
      <c r="B224" s="36" t="s">
        <v>110</v>
      </c>
      <c r="C224" s="36">
        <v>11.778</v>
      </c>
      <c r="D224" s="36" t="s">
        <v>278</v>
      </c>
      <c r="E224" s="37">
        <f t="shared" si="8"/>
        <v>0.0699541818181818</v>
      </c>
      <c r="H224" s="35" t="s">
        <v>279</v>
      </c>
      <c r="I224" s="35" t="s">
        <v>153</v>
      </c>
    </row>
    <row r="225" spans="1:9">
      <c r="A225" s="36" t="s">
        <v>126</v>
      </c>
      <c r="B225" s="36" t="s">
        <v>110</v>
      </c>
      <c r="C225" s="36">
        <v>13.312</v>
      </c>
      <c r="D225" s="36" t="s">
        <v>278</v>
      </c>
      <c r="E225" s="37">
        <f t="shared" si="8"/>
        <v>0.0790652121212121</v>
      </c>
      <c r="H225" s="35" t="s">
        <v>279</v>
      </c>
      <c r="I225" s="35" t="s">
        <v>153</v>
      </c>
    </row>
    <row r="226" spans="1:9">
      <c r="A226" s="36" t="s">
        <v>126</v>
      </c>
      <c r="B226" s="36" t="s">
        <v>110</v>
      </c>
      <c r="C226" s="36">
        <v>13.189</v>
      </c>
      <c r="D226" s="36" t="s">
        <v>278</v>
      </c>
      <c r="E226" s="37">
        <f t="shared" si="8"/>
        <v>0.0783346666666667</v>
      </c>
      <c r="H226" s="35" t="s">
        <v>279</v>
      </c>
      <c r="I226" s="35" t="s">
        <v>153</v>
      </c>
    </row>
    <row r="227" spans="1:9">
      <c r="A227" s="36" t="s">
        <v>126</v>
      </c>
      <c r="B227" s="36" t="s">
        <v>110</v>
      </c>
      <c r="C227" s="36">
        <v>12.269</v>
      </c>
      <c r="D227" s="36" t="s">
        <v>278</v>
      </c>
      <c r="E227" s="37">
        <f t="shared" si="8"/>
        <v>0.0728704242424242</v>
      </c>
      <c r="H227" s="35" t="s">
        <v>279</v>
      </c>
      <c r="I227" s="35" t="s">
        <v>153</v>
      </c>
    </row>
    <row r="228" spans="1:9">
      <c r="A228" s="36" t="s">
        <v>126</v>
      </c>
      <c r="B228" s="36" t="s">
        <v>110</v>
      </c>
      <c r="C228" s="36">
        <v>13.741</v>
      </c>
      <c r="D228" s="36" t="s">
        <v>278</v>
      </c>
      <c r="E228" s="37">
        <f t="shared" si="8"/>
        <v>0.0816132121212121</v>
      </c>
      <c r="H228" s="35" t="s">
        <v>279</v>
      </c>
      <c r="I228" s="35" t="s">
        <v>153</v>
      </c>
    </row>
    <row r="229" spans="1:9">
      <c r="A229" s="36" t="s">
        <v>126</v>
      </c>
      <c r="B229" s="36" t="s">
        <v>110</v>
      </c>
      <c r="C229" s="36">
        <v>15.275</v>
      </c>
      <c r="D229" s="36" t="s">
        <v>278</v>
      </c>
      <c r="E229" s="37">
        <f t="shared" si="8"/>
        <v>0.0907242424242424</v>
      </c>
      <c r="H229" s="35" t="s">
        <v>279</v>
      </c>
      <c r="I229" s="35" t="s">
        <v>153</v>
      </c>
    </row>
    <row r="230" spans="1:9">
      <c r="A230" s="36" t="s">
        <v>126</v>
      </c>
      <c r="B230" s="36" t="s">
        <v>110</v>
      </c>
      <c r="C230" s="36">
        <v>15.949</v>
      </c>
      <c r="D230" s="36" t="s">
        <v>278</v>
      </c>
      <c r="E230" s="37">
        <f t="shared" si="8"/>
        <v>0.0947273939393939</v>
      </c>
      <c r="H230" s="35" t="s">
        <v>279</v>
      </c>
      <c r="I230" s="35" t="s">
        <v>153</v>
      </c>
    </row>
    <row r="231" spans="1:9">
      <c r="A231" s="36" t="s">
        <v>126</v>
      </c>
      <c r="B231" s="36" t="s">
        <v>110</v>
      </c>
      <c r="C231" s="36">
        <v>17.054</v>
      </c>
      <c r="D231" s="36" t="s">
        <v>278</v>
      </c>
      <c r="E231" s="37">
        <f t="shared" si="8"/>
        <v>0.101290424242424</v>
      </c>
      <c r="H231" s="35" t="s">
        <v>279</v>
      </c>
      <c r="I231" s="35" t="s">
        <v>153</v>
      </c>
    </row>
    <row r="232" spans="1:9">
      <c r="A232" s="36" t="s">
        <v>126</v>
      </c>
      <c r="B232" s="36" t="s">
        <v>110</v>
      </c>
      <c r="C232" s="36">
        <v>15.827</v>
      </c>
      <c r="D232" s="36" t="s">
        <v>278</v>
      </c>
      <c r="E232" s="37">
        <f t="shared" si="8"/>
        <v>0.0940027878787879</v>
      </c>
      <c r="H232" s="35" t="s">
        <v>279</v>
      </c>
      <c r="I232" s="35" t="s">
        <v>153</v>
      </c>
    </row>
    <row r="233" spans="1:9">
      <c r="A233" s="36" t="s">
        <v>154</v>
      </c>
      <c r="B233" s="36" t="s">
        <v>110</v>
      </c>
      <c r="C233" s="36">
        <v>5.823</v>
      </c>
      <c r="D233" s="36" t="s">
        <v>278</v>
      </c>
      <c r="E233" s="37">
        <f t="shared" ref="E233:E246" si="9">C233*1000*28/44/(150000*30)*100*0.7</f>
        <v>0.0576418181818182</v>
      </c>
      <c r="H233" s="35" t="s">
        <v>280</v>
      </c>
      <c r="I233" s="35" t="s">
        <v>153</v>
      </c>
    </row>
    <row r="234" spans="1:9">
      <c r="A234" s="36" t="s">
        <v>154</v>
      </c>
      <c r="B234" s="36" t="s">
        <v>110</v>
      </c>
      <c r="C234" s="36">
        <v>8.062</v>
      </c>
      <c r="D234" s="36" t="s">
        <v>278</v>
      </c>
      <c r="E234" s="37">
        <f t="shared" si="9"/>
        <v>0.0798056565656566</v>
      </c>
      <c r="H234" s="35" t="s">
        <v>280</v>
      </c>
      <c r="I234" s="35" t="s">
        <v>153</v>
      </c>
    </row>
    <row r="235" spans="1:9">
      <c r="A235" s="36" t="s">
        <v>154</v>
      </c>
      <c r="B235" s="36" t="s">
        <v>110</v>
      </c>
      <c r="C235" s="36">
        <v>8.001</v>
      </c>
      <c r="D235" s="36" t="s">
        <v>278</v>
      </c>
      <c r="E235" s="37">
        <f t="shared" si="9"/>
        <v>0.0792018181818182</v>
      </c>
      <c r="H235" s="35" t="s">
        <v>280</v>
      </c>
      <c r="I235" s="35" t="s">
        <v>153</v>
      </c>
    </row>
    <row r="236" spans="1:9">
      <c r="A236" s="36" t="s">
        <v>154</v>
      </c>
      <c r="B236" s="36" t="s">
        <v>110</v>
      </c>
      <c r="C236" s="36">
        <v>4.863</v>
      </c>
      <c r="D236" s="36" t="s">
        <v>278</v>
      </c>
      <c r="E236" s="37">
        <f t="shared" si="9"/>
        <v>0.0481387878787879</v>
      </c>
      <c r="H236" s="35" t="s">
        <v>280</v>
      </c>
      <c r="I236" s="35" t="s">
        <v>153</v>
      </c>
    </row>
    <row r="237" spans="1:9">
      <c r="A237" s="36" t="s">
        <v>154</v>
      </c>
      <c r="B237" s="36" t="s">
        <v>110</v>
      </c>
      <c r="C237" s="36">
        <v>7.137</v>
      </c>
      <c r="D237" s="36" t="s">
        <v>278</v>
      </c>
      <c r="E237" s="37">
        <f t="shared" si="9"/>
        <v>0.0706490909090909</v>
      </c>
      <c r="H237" s="35" t="s">
        <v>280</v>
      </c>
      <c r="I237" s="35" t="s">
        <v>153</v>
      </c>
    </row>
    <row r="238" spans="1:9">
      <c r="A238" s="36" t="s">
        <v>154</v>
      </c>
      <c r="B238" s="36" t="s">
        <v>110</v>
      </c>
      <c r="C238" s="36">
        <v>5.101</v>
      </c>
      <c r="D238" s="36" t="s">
        <v>278</v>
      </c>
      <c r="E238" s="37">
        <f t="shared" si="9"/>
        <v>0.0504947474747475</v>
      </c>
      <c r="H238" s="35" t="s">
        <v>280</v>
      </c>
      <c r="I238" s="35" t="s">
        <v>153</v>
      </c>
    </row>
    <row r="239" spans="1:9">
      <c r="A239" s="36" t="s">
        <v>154</v>
      </c>
      <c r="B239" s="36" t="s">
        <v>110</v>
      </c>
      <c r="C239" s="36">
        <v>6.912</v>
      </c>
      <c r="D239" s="36" t="s">
        <v>278</v>
      </c>
      <c r="E239" s="37">
        <f t="shared" si="9"/>
        <v>0.0684218181818182</v>
      </c>
      <c r="H239" s="35" t="s">
        <v>280</v>
      </c>
      <c r="I239" s="35" t="s">
        <v>153</v>
      </c>
    </row>
    <row r="240" spans="1:9">
      <c r="A240" s="36" t="s">
        <v>154</v>
      </c>
      <c r="B240" s="36" t="s">
        <v>110</v>
      </c>
      <c r="C240" s="36">
        <v>6.489</v>
      </c>
      <c r="D240" s="36" t="s">
        <v>278</v>
      </c>
      <c r="E240" s="37">
        <f t="shared" si="9"/>
        <v>0.0642345454545454</v>
      </c>
      <c r="H240" s="35" t="s">
        <v>280</v>
      </c>
      <c r="I240" s="35" t="s">
        <v>153</v>
      </c>
    </row>
    <row r="241" spans="1:9">
      <c r="A241" s="36" t="s">
        <v>154</v>
      </c>
      <c r="B241" s="36" t="s">
        <v>110</v>
      </c>
      <c r="C241" s="36">
        <v>7.441</v>
      </c>
      <c r="D241" s="36" t="s">
        <v>278</v>
      </c>
      <c r="E241" s="37">
        <f t="shared" si="9"/>
        <v>0.0736583838383838</v>
      </c>
      <c r="H241" s="35" t="s">
        <v>280</v>
      </c>
      <c r="I241" s="35" t="s">
        <v>153</v>
      </c>
    </row>
    <row r="242" spans="1:9">
      <c r="A242" s="36" t="s">
        <v>154</v>
      </c>
      <c r="B242" s="36" t="s">
        <v>110</v>
      </c>
      <c r="C242" s="36">
        <v>7.969</v>
      </c>
      <c r="D242" s="36" t="s">
        <v>278</v>
      </c>
      <c r="E242" s="37">
        <f t="shared" si="9"/>
        <v>0.0788850505050505</v>
      </c>
      <c r="H242" s="35" t="s">
        <v>280</v>
      </c>
      <c r="I242" s="35" t="s">
        <v>153</v>
      </c>
    </row>
    <row r="243" spans="1:9">
      <c r="A243" s="36" t="s">
        <v>154</v>
      </c>
      <c r="B243" s="36" t="s">
        <v>110</v>
      </c>
      <c r="C243" s="36">
        <v>7.903</v>
      </c>
      <c r="D243" s="36" t="s">
        <v>278</v>
      </c>
      <c r="E243" s="37">
        <f t="shared" si="9"/>
        <v>0.0782317171717172</v>
      </c>
      <c r="H243" s="35" t="s">
        <v>280</v>
      </c>
      <c r="I243" s="35" t="s">
        <v>153</v>
      </c>
    </row>
    <row r="244" spans="1:9">
      <c r="A244" s="36" t="s">
        <v>154</v>
      </c>
      <c r="B244" s="36" t="s">
        <v>110</v>
      </c>
      <c r="C244" s="36">
        <v>8.419</v>
      </c>
      <c r="D244" s="36" t="s">
        <v>278</v>
      </c>
      <c r="E244" s="37">
        <f t="shared" si="9"/>
        <v>0.083339595959596</v>
      </c>
      <c r="H244" s="35" t="s">
        <v>280</v>
      </c>
      <c r="I244" s="35" t="s">
        <v>153</v>
      </c>
    </row>
    <row r="245" spans="1:9">
      <c r="A245" s="36" t="s">
        <v>154</v>
      </c>
      <c r="B245" s="36" t="s">
        <v>110</v>
      </c>
      <c r="C245" s="36">
        <v>6.515</v>
      </c>
      <c r="D245" s="36" t="s">
        <v>278</v>
      </c>
      <c r="E245" s="37">
        <f t="shared" si="9"/>
        <v>0.0644919191919192</v>
      </c>
      <c r="H245" s="35" t="s">
        <v>280</v>
      </c>
      <c r="I245" s="35" t="s">
        <v>153</v>
      </c>
    </row>
    <row r="246" spans="1:9">
      <c r="A246" s="36" t="s">
        <v>154</v>
      </c>
      <c r="B246" s="36" t="s">
        <v>110</v>
      </c>
      <c r="C246" s="36">
        <v>8.419</v>
      </c>
      <c r="D246" s="36" t="s">
        <v>278</v>
      </c>
      <c r="E246" s="37">
        <f t="shared" si="9"/>
        <v>0.083339595959596</v>
      </c>
      <c r="H246" s="35" t="s">
        <v>280</v>
      </c>
      <c r="I246" s="35" t="s">
        <v>153</v>
      </c>
    </row>
    <row r="247" spans="1:9">
      <c r="A247" s="36" t="s">
        <v>154</v>
      </c>
      <c r="B247" s="36" t="s">
        <v>110</v>
      </c>
      <c r="E247" s="37">
        <v>1.43148738054398</v>
      </c>
      <c r="H247" s="36" t="s">
        <v>214</v>
      </c>
      <c r="I247" s="36" t="s">
        <v>281</v>
      </c>
    </row>
    <row r="248" spans="1:9">
      <c r="A248" s="36" t="s">
        <v>154</v>
      </c>
      <c r="B248" s="36" t="s">
        <v>110</v>
      </c>
      <c r="E248" s="37">
        <v>2.03113325031133</v>
      </c>
      <c r="H248" s="36" t="s">
        <v>214</v>
      </c>
      <c r="I248" s="36" t="s">
        <v>281</v>
      </c>
    </row>
    <row r="249" spans="1:9">
      <c r="A249" s="36" t="s">
        <v>249</v>
      </c>
      <c r="B249" s="36" t="s">
        <v>110</v>
      </c>
      <c r="E249" s="37">
        <v>0.562804615189552</v>
      </c>
      <c r="H249" s="36" t="s">
        <v>214</v>
      </c>
      <c r="I249" s="36" t="s">
        <v>281</v>
      </c>
    </row>
    <row r="250" spans="1:9">
      <c r="A250" s="36" t="s">
        <v>117</v>
      </c>
      <c r="B250" s="36" t="s">
        <v>110</v>
      </c>
      <c r="C250" s="36">
        <v>0.056</v>
      </c>
      <c r="D250" s="36" t="s">
        <v>238</v>
      </c>
      <c r="E250" s="37">
        <v>0.056</v>
      </c>
      <c r="I250" s="36" t="s">
        <v>282</v>
      </c>
    </row>
    <row r="251" spans="1:9">
      <c r="A251" s="36" t="s">
        <v>117</v>
      </c>
      <c r="B251" s="36" t="s">
        <v>110</v>
      </c>
      <c r="C251" s="36">
        <v>0.041</v>
      </c>
      <c r="D251" s="36" t="s">
        <v>238</v>
      </c>
      <c r="E251" s="37">
        <v>0.041</v>
      </c>
      <c r="I251" s="36" t="s">
        <v>282</v>
      </c>
    </row>
    <row r="252" spans="1:9">
      <c r="A252" s="36" t="s">
        <v>117</v>
      </c>
      <c r="B252" s="36" t="s">
        <v>110</v>
      </c>
      <c r="C252" s="36">
        <v>0.02</v>
      </c>
      <c r="D252" s="36" t="s">
        <v>238</v>
      </c>
      <c r="E252" s="37">
        <v>0.02</v>
      </c>
      <c r="I252" s="36" t="s">
        <v>282</v>
      </c>
    </row>
    <row r="253" spans="1:9">
      <c r="A253" s="36" t="s">
        <v>117</v>
      </c>
      <c r="B253" s="36" t="s">
        <v>110</v>
      </c>
      <c r="C253" s="36">
        <v>0.013</v>
      </c>
      <c r="D253" s="36" t="s">
        <v>238</v>
      </c>
      <c r="E253" s="37">
        <v>0.013</v>
      </c>
      <c r="I253" s="36" t="s">
        <v>282</v>
      </c>
    </row>
    <row r="254" spans="1:9">
      <c r="A254" s="36" t="s">
        <v>117</v>
      </c>
      <c r="B254" s="36" t="s">
        <v>110</v>
      </c>
      <c r="C254" s="36">
        <v>0.012</v>
      </c>
      <c r="D254" s="36" t="s">
        <v>238</v>
      </c>
      <c r="E254" s="37">
        <v>0.012</v>
      </c>
      <c r="I254" s="36" t="s">
        <v>282</v>
      </c>
    </row>
    <row r="255" spans="1:9">
      <c r="A255" s="36" t="s">
        <v>126</v>
      </c>
      <c r="B255" s="36" t="s">
        <v>114</v>
      </c>
      <c r="C255" s="36">
        <v>0.92</v>
      </c>
      <c r="D255" s="36" t="s">
        <v>283</v>
      </c>
      <c r="E255" s="37">
        <f>C255*28/44</f>
        <v>0.585454545454545</v>
      </c>
      <c r="I255" s="36" t="s">
        <v>284</v>
      </c>
    </row>
    <row r="256" spans="1:9">
      <c r="A256" s="36" t="s">
        <v>160</v>
      </c>
      <c r="B256" s="36" t="s">
        <v>114</v>
      </c>
      <c r="C256" s="36">
        <v>0.79</v>
      </c>
      <c r="D256" s="36" t="s">
        <v>211</v>
      </c>
      <c r="E256" s="37">
        <f>C256</f>
        <v>0.79</v>
      </c>
      <c r="I256" s="36" t="s">
        <v>162</v>
      </c>
    </row>
    <row r="257" spans="1:9">
      <c r="A257" s="36" t="s">
        <v>160</v>
      </c>
      <c r="B257" s="36" t="s">
        <v>114</v>
      </c>
      <c r="C257" s="36">
        <v>0.2</v>
      </c>
      <c r="D257" s="36" t="s">
        <v>211</v>
      </c>
      <c r="E257" s="37">
        <f>C257</f>
        <v>0.2</v>
      </c>
      <c r="I257" s="36" t="s">
        <v>162</v>
      </c>
    </row>
    <row r="258" spans="1:9">
      <c r="A258" s="36" t="s">
        <v>160</v>
      </c>
      <c r="B258" s="36" t="s">
        <v>114</v>
      </c>
      <c r="C258" s="36">
        <v>0.06</v>
      </c>
      <c r="D258" s="36" t="s">
        <v>211</v>
      </c>
      <c r="E258" s="37">
        <f>C258</f>
        <v>0.06</v>
      </c>
      <c r="I258" s="36" t="s">
        <v>162</v>
      </c>
    </row>
    <row r="259" spans="1:9">
      <c r="A259" s="42" t="s">
        <v>139</v>
      </c>
      <c r="B259" s="36" t="s">
        <v>110</v>
      </c>
      <c r="E259" s="37">
        <v>1.05</v>
      </c>
      <c r="I259" s="36" t="s">
        <v>285</v>
      </c>
    </row>
    <row r="260" spans="1:9">
      <c r="A260" s="42" t="s">
        <v>139</v>
      </c>
      <c r="B260" s="36" t="s">
        <v>110</v>
      </c>
      <c r="E260" s="37">
        <v>1.79</v>
      </c>
      <c r="I260" s="36" t="s">
        <v>285</v>
      </c>
    </row>
    <row r="261" spans="1:9">
      <c r="A261" s="42" t="s">
        <v>139</v>
      </c>
      <c r="B261" s="36" t="s">
        <v>110</v>
      </c>
      <c r="E261" s="37">
        <v>15.65</v>
      </c>
      <c r="I261" s="36" t="s">
        <v>285</v>
      </c>
    </row>
    <row r="262" spans="1:9">
      <c r="A262" s="42" t="s">
        <v>139</v>
      </c>
      <c r="B262" s="36" t="s">
        <v>110</v>
      </c>
      <c r="E262" s="37">
        <v>0.47</v>
      </c>
      <c r="I262" s="36" t="s">
        <v>285</v>
      </c>
    </row>
    <row r="263" spans="1:9">
      <c r="A263" s="42" t="s">
        <v>139</v>
      </c>
      <c r="B263" s="36" t="s">
        <v>110</v>
      </c>
      <c r="C263" s="36">
        <v>0.45</v>
      </c>
      <c r="D263" s="36" t="s">
        <v>238</v>
      </c>
      <c r="E263" s="37">
        <v>0.45</v>
      </c>
      <c r="I263" s="36" t="s">
        <v>286</v>
      </c>
    </row>
    <row r="264" spans="1:9">
      <c r="A264" s="42" t="s">
        <v>139</v>
      </c>
      <c r="B264" s="36" t="s">
        <v>110</v>
      </c>
      <c r="E264" s="37">
        <v>0.719603</v>
      </c>
      <c r="I264" s="36" t="s">
        <v>287</v>
      </c>
    </row>
    <row r="265" spans="1:9">
      <c r="A265" s="42" t="s">
        <v>139</v>
      </c>
      <c r="B265" s="36" t="s">
        <v>110</v>
      </c>
      <c r="E265" s="37">
        <v>1.7369727</v>
      </c>
      <c r="I265" s="36" t="s">
        <v>287</v>
      </c>
    </row>
    <row r="266" spans="1:9">
      <c r="A266" s="42" t="s">
        <v>139</v>
      </c>
      <c r="B266" s="36" t="s">
        <v>110</v>
      </c>
      <c r="E266" s="37">
        <v>0.7444169</v>
      </c>
      <c r="I266" s="36" t="s">
        <v>287</v>
      </c>
    </row>
    <row r="267" spans="1:9">
      <c r="A267" s="42" t="s">
        <v>139</v>
      </c>
      <c r="B267" s="36" t="s">
        <v>110</v>
      </c>
      <c r="E267" s="37">
        <v>0.6451613</v>
      </c>
      <c r="I267" s="36" t="s">
        <v>287</v>
      </c>
    </row>
    <row r="268" spans="1:9">
      <c r="A268" s="42" t="s">
        <v>139</v>
      </c>
      <c r="B268" s="36" t="s">
        <v>110</v>
      </c>
      <c r="E268" s="37">
        <v>0.27295285</v>
      </c>
      <c r="I268" s="36" t="s">
        <v>287</v>
      </c>
    </row>
    <row r="269" spans="1:9">
      <c r="A269" s="42" t="s">
        <v>139</v>
      </c>
      <c r="B269" s="36" t="s">
        <v>110</v>
      </c>
      <c r="E269" s="37">
        <v>2.4069479</v>
      </c>
      <c r="I269" s="36" t="s">
        <v>287</v>
      </c>
    </row>
    <row r="270" spans="1:9">
      <c r="A270" s="42" t="s">
        <v>139</v>
      </c>
      <c r="B270" s="36" t="s">
        <v>110</v>
      </c>
      <c r="E270" s="37">
        <v>1.9851117</v>
      </c>
      <c r="I270" s="36" t="s">
        <v>287</v>
      </c>
    </row>
    <row r="271" spans="1:9">
      <c r="A271" s="42" t="s">
        <v>139</v>
      </c>
      <c r="B271" s="36" t="s">
        <v>110</v>
      </c>
      <c r="E271" s="37">
        <v>8.337469</v>
      </c>
      <c r="I271" s="36" t="s">
        <v>287</v>
      </c>
    </row>
    <row r="272" spans="1:9">
      <c r="A272" s="42" t="s">
        <v>139</v>
      </c>
      <c r="B272" s="36" t="s">
        <v>110</v>
      </c>
      <c r="E272" s="37">
        <v>0.39702234</v>
      </c>
      <c r="I272" s="36" t="s">
        <v>287</v>
      </c>
    </row>
    <row r="273" spans="1:9">
      <c r="A273" s="42" t="s">
        <v>139</v>
      </c>
      <c r="B273" s="36" t="s">
        <v>110</v>
      </c>
      <c r="C273" s="36">
        <v>10.26</v>
      </c>
      <c r="D273" s="36" t="s">
        <v>238</v>
      </c>
      <c r="E273" s="37">
        <v>10.26</v>
      </c>
      <c r="I273" s="36" t="s">
        <v>288</v>
      </c>
    </row>
    <row r="274" spans="1:9">
      <c r="A274" s="42" t="s">
        <v>139</v>
      </c>
      <c r="B274" s="36" t="s">
        <v>110</v>
      </c>
      <c r="C274" s="36">
        <v>3.82</v>
      </c>
      <c r="D274" s="36" t="s">
        <v>238</v>
      </c>
      <c r="E274" s="37">
        <v>3.82</v>
      </c>
      <c r="I274" s="36" t="s">
        <v>288</v>
      </c>
    </row>
    <row r="275" spans="1:9">
      <c r="A275" s="42" t="s">
        <v>139</v>
      </c>
      <c r="B275" s="36" t="s">
        <v>110</v>
      </c>
      <c r="E275" s="37">
        <v>6.09</v>
      </c>
      <c r="I275" s="36" t="s">
        <v>289</v>
      </c>
    </row>
    <row r="276" spans="1:9">
      <c r="A276" s="42" t="s">
        <v>139</v>
      </c>
      <c r="B276" s="36" t="s">
        <v>110</v>
      </c>
      <c r="E276" s="37">
        <v>1.31727272727273</v>
      </c>
      <c r="I276" s="36" t="s">
        <v>289</v>
      </c>
    </row>
    <row r="277" spans="1:9">
      <c r="A277" s="42" t="s">
        <v>139</v>
      </c>
      <c r="B277" s="36" t="s">
        <v>110</v>
      </c>
      <c r="E277" s="37">
        <v>0.579090909090909</v>
      </c>
      <c r="I277" s="36" t="s">
        <v>289</v>
      </c>
    </row>
    <row r="278" spans="1:9">
      <c r="A278" s="42" t="s">
        <v>139</v>
      </c>
      <c r="B278" s="36" t="s">
        <v>110</v>
      </c>
      <c r="E278" s="37">
        <v>0.445454545454545</v>
      </c>
      <c r="I278" s="36" t="s">
        <v>289</v>
      </c>
    </row>
    <row r="279" spans="1:9">
      <c r="A279" s="42" t="s">
        <v>139</v>
      </c>
      <c r="B279" s="36" t="s">
        <v>110</v>
      </c>
      <c r="E279" s="37">
        <v>0.407272727272727</v>
      </c>
      <c r="I279" s="36" t="s">
        <v>289</v>
      </c>
    </row>
    <row r="280" spans="1:9">
      <c r="A280" s="36" t="s">
        <v>108</v>
      </c>
      <c r="B280" s="36" t="s">
        <v>110</v>
      </c>
      <c r="C280" s="36">
        <v>0.00186</v>
      </c>
      <c r="D280" s="36" t="s">
        <v>235</v>
      </c>
      <c r="E280" s="37">
        <f t="shared" ref="E280:E291" si="10">C280*28/44*100*F280</f>
        <v>0.0994254545454545</v>
      </c>
      <c r="F280" s="37">
        <v>0.84</v>
      </c>
      <c r="I280" s="36" t="s">
        <v>290</v>
      </c>
    </row>
    <row r="281" spans="1:9">
      <c r="A281" s="36" t="s">
        <v>108</v>
      </c>
      <c r="B281" s="36" t="s">
        <v>110</v>
      </c>
      <c r="C281" s="36">
        <v>8.18e-6</v>
      </c>
      <c r="D281" s="36" t="s">
        <v>235</v>
      </c>
      <c r="E281" s="37">
        <f t="shared" si="10"/>
        <v>0.000437258181818182</v>
      </c>
      <c r="F281" s="37">
        <v>0.84</v>
      </c>
      <c r="I281" s="36" t="s">
        <v>290</v>
      </c>
    </row>
    <row r="282" spans="1:9">
      <c r="A282" s="36" t="s">
        <v>184</v>
      </c>
      <c r="B282" s="36" t="s">
        <v>110</v>
      </c>
      <c r="C282" s="36">
        <v>0.000376</v>
      </c>
      <c r="D282" s="36" t="s">
        <v>235</v>
      </c>
      <c r="E282" s="37">
        <f t="shared" si="10"/>
        <v>0.0167490909090909</v>
      </c>
      <c r="F282" s="37">
        <v>0.7</v>
      </c>
      <c r="I282" s="36" t="s">
        <v>290</v>
      </c>
    </row>
    <row r="283" spans="1:9">
      <c r="A283" s="36" t="s">
        <v>184</v>
      </c>
      <c r="B283" s="36" t="s">
        <v>110</v>
      </c>
      <c r="C283" s="36">
        <v>3.12e-5</v>
      </c>
      <c r="D283" s="36" t="s">
        <v>235</v>
      </c>
      <c r="E283" s="37">
        <f t="shared" si="10"/>
        <v>0.00140967272727273</v>
      </c>
      <c r="F283" s="37">
        <v>0.71</v>
      </c>
      <c r="I283" s="36" t="s">
        <v>290</v>
      </c>
    </row>
    <row r="284" customHeight="1" spans="1:9">
      <c r="A284" s="36" t="s">
        <v>184</v>
      </c>
      <c r="B284" s="36" t="s">
        <v>110</v>
      </c>
      <c r="C284" s="36">
        <v>0.00176</v>
      </c>
      <c r="D284" s="36" t="s">
        <v>235</v>
      </c>
      <c r="E284" s="37">
        <f t="shared" si="10"/>
        <v>0.09856</v>
      </c>
      <c r="F284" s="37">
        <v>0.88</v>
      </c>
      <c r="I284" s="36" t="s">
        <v>290</v>
      </c>
    </row>
    <row r="285" spans="1:9">
      <c r="A285" s="36" t="s">
        <v>184</v>
      </c>
      <c r="B285" s="36" t="s">
        <v>110</v>
      </c>
      <c r="C285" s="36">
        <v>1.95e-6</v>
      </c>
      <c r="D285" s="36" t="s">
        <v>235</v>
      </c>
      <c r="E285" s="37">
        <f t="shared" si="10"/>
        <v>0.000105477272727273</v>
      </c>
      <c r="F285" s="37">
        <v>0.85</v>
      </c>
      <c r="I285" s="36" t="s">
        <v>290</v>
      </c>
    </row>
    <row r="286" spans="1:9">
      <c r="A286" s="36" t="s">
        <v>184</v>
      </c>
      <c r="B286" s="36" t="s">
        <v>110</v>
      </c>
      <c r="C286" s="36">
        <v>0.0013</v>
      </c>
      <c r="D286" s="36" t="s">
        <v>235</v>
      </c>
      <c r="E286" s="37">
        <f t="shared" si="10"/>
        <v>0.0703181818181818</v>
      </c>
      <c r="F286" s="37">
        <v>0.85</v>
      </c>
      <c r="I286" s="36" t="s">
        <v>290</v>
      </c>
    </row>
    <row r="287" spans="1:9">
      <c r="A287" s="36" t="s">
        <v>184</v>
      </c>
      <c r="B287" s="36" t="s">
        <v>110</v>
      </c>
      <c r="C287" s="36">
        <v>0.00223</v>
      </c>
      <c r="D287" s="36" t="s">
        <v>235</v>
      </c>
      <c r="E287" s="37">
        <f t="shared" si="10"/>
        <v>0.12488</v>
      </c>
      <c r="F287" s="37">
        <v>0.88</v>
      </c>
      <c r="I287" s="36" t="s">
        <v>290</v>
      </c>
    </row>
    <row r="288" spans="1:9">
      <c r="A288" s="36" t="s">
        <v>184</v>
      </c>
      <c r="B288" s="36" t="s">
        <v>110</v>
      </c>
      <c r="C288" s="36">
        <v>0.00638</v>
      </c>
      <c r="D288" s="36" t="s">
        <v>235</v>
      </c>
      <c r="E288" s="37">
        <f t="shared" si="10"/>
        <v>0.3248</v>
      </c>
      <c r="F288" s="37">
        <v>0.8</v>
      </c>
      <c r="I288" s="36" t="s">
        <v>290</v>
      </c>
    </row>
    <row r="289" spans="1:9">
      <c r="A289" s="36" t="s">
        <v>184</v>
      </c>
      <c r="B289" s="36" t="s">
        <v>110</v>
      </c>
      <c r="C289" s="36">
        <v>0.00236</v>
      </c>
      <c r="D289" s="36" t="s">
        <v>235</v>
      </c>
      <c r="E289" s="37">
        <f t="shared" si="10"/>
        <v>0.13216</v>
      </c>
      <c r="F289" s="37">
        <v>0.88</v>
      </c>
      <c r="I289" s="36" t="s">
        <v>290</v>
      </c>
    </row>
    <row r="290" spans="1:9">
      <c r="A290" s="36" t="s">
        <v>184</v>
      </c>
      <c r="B290" s="36" t="s">
        <v>110</v>
      </c>
      <c r="C290" s="36">
        <v>0.00422</v>
      </c>
      <c r="D290" s="36" t="s">
        <v>235</v>
      </c>
      <c r="E290" s="37">
        <f t="shared" si="10"/>
        <v>0.233634545454545</v>
      </c>
      <c r="F290" s="37">
        <v>0.87</v>
      </c>
      <c r="I290" s="36" t="s">
        <v>290</v>
      </c>
    </row>
    <row r="291" spans="1:9">
      <c r="A291" s="36" t="s">
        <v>184</v>
      </c>
      <c r="B291" s="36" t="s">
        <v>110</v>
      </c>
      <c r="C291" s="36">
        <v>0.00292</v>
      </c>
      <c r="D291" s="36" t="s">
        <v>235</v>
      </c>
      <c r="E291" s="37">
        <f t="shared" si="10"/>
        <v>0.16352</v>
      </c>
      <c r="F291" s="37">
        <v>0.88</v>
      </c>
      <c r="I291" s="36" t="s">
        <v>290</v>
      </c>
    </row>
    <row r="292" spans="1:9">
      <c r="A292" s="36" t="s">
        <v>112</v>
      </c>
      <c r="B292" s="36" t="s">
        <v>110</v>
      </c>
      <c r="C292" s="36">
        <v>48.6</v>
      </c>
      <c r="D292" s="36" t="s">
        <v>291</v>
      </c>
      <c r="E292" s="37">
        <f>C292/10*0.8*0.7</f>
        <v>2.7216</v>
      </c>
      <c r="I292" s="36" t="s">
        <v>292</v>
      </c>
    </row>
    <row r="293" spans="1:9">
      <c r="A293" s="36" t="s">
        <v>112</v>
      </c>
      <c r="B293" s="36" t="s">
        <v>110</v>
      </c>
      <c r="C293" s="36">
        <v>41.8</v>
      </c>
      <c r="D293" s="36" t="s">
        <v>291</v>
      </c>
      <c r="E293" s="37">
        <f>C293/10*0.8*0.7</f>
        <v>2.3408</v>
      </c>
      <c r="I293" s="36" t="s">
        <v>292</v>
      </c>
    </row>
    <row r="294" spans="1:9">
      <c r="A294" s="36" t="s">
        <v>112</v>
      </c>
      <c r="B294" s="36" t="s">
        <v>110</v>
      </c>
      <c r="C294" s="36">
        <v>38.8</v>
      </c>
      <c r="D294" s="36" t="s">
        <v>291</v>
      </c>
      <c r="E294" s="37">
        <f>C294/10*0.8*0.7</f>
        <v>2.1728</v>
      </c>
      <c r="I294" s="36" t="s">
        <v>292</v>
      </c>
    </row>
    <row r="295" spans="1:9">
      <c r="A295" s="36" t="s">
        <v>112</v>
      </c>
      <c r="B295" s="36" t="s">
        <v>110</v>
      </c>
      <c r="C295" s="36">
        <v>33.3</v>
      </c>
      <c r="D295" s="36" t="s">
        <v>291</v>
      </c>
      <c r="E295" s="37">
        <f>C295/10*0.8*0.7</f>
        <v>1.8648</v>
      </c>
      <c r="I295" s="36" t="s">
        <v>292</v>
      </c>
    </row>
    <row r="296" spans="1:9">
      <c r="A296" s="36" t="s">
        <v>154</v>
      </c>
      <c r="B296" s="36" t="s">
        <v>114</v>
      </c>
      <c r="C296" s="36">
        <v>0.0017</v>
      </c>
      <c r="D296" s="35" t="s">
        <v>163</v>
      </c>
      <c r="E296" s="37">
        <f>C296/19.1*28/44*100</f>
        <v>0.00566396953831509</v>
      </c>
      <c r="I296" s="36" t="s">
        <v>165</v>
      </c>
    </row>
    <row r="297" spans="1:9">
      <c r="A297" s="36" t="s">
        <v>154</v>
      </c>
      <c r="B297" s="36" t="s">
        <v>114</v>
      </c>
      <c r="C297" s="36">
        <v>0.0132</v>
      </c>
      <c r="D297" s="35" t="s">
        <v>163</v>
      </c>
      <c r="E297" s="37">
        <f>C297/19.1*28/44*100</f>
        <v>0.043979057591623</v>
      </c>
      <c r="I297" s="36" t="s">
        <v>165</v>
      </c>
    </row>
    <row r="298" spans="1:9">
      <c r="A298" s="36" t="s">
        <v>154</v>
      </c>
      <c r="B298" s="36" t="s">
        <v>114</v>
      </c>
      <c r="C298" s="36">
        <v>0.0023</v>
      </c>
      <c r="D298" s="35" t="s">
        <v>163</v>
      </c>
      <c r="E298" s="37">
        <f>C298/19.1*28/44*100</f>
        <v>0.00766301761066159</v>
      </c>
      <c r="I298" s="36" t="s">
        <v>165</v>
      </c>
    </row>
    <row r="299" spans="1:9">
      <c r="A299" s="36" t="s">
        <v>154</v>
      </c>
      <c r="B299" s="36" t="s">
        <v>114</v>
      </c>
      <c r="C299" s="36">
        <v>0</v>
      </c>
      <c r="D299" s="35" t="s">
        <v>163</v>
      </c>
      <c r="E299" s="37">
        <f>C299/19.1*28/44*100</f>
        <v>0</v>
      </c>
      <c r="H299" s="36" t="s">
        <v>293</v>
      </c>
      <c r="I299" s="36" t="s">
        <v>165</v>
      </c>
    </row>
    <row r="300" spans="1:9">
      <c r="A300" s="36" t="s">
        <v>117</v>
      </c>
      <c r="B300" s="36" t="s">
        <v>114</v>
      </c>
      <c r="C300" s="36">
        <v>0.0488</v>
      </c>
      <c r="D300" s="35" t="s">
        <v>163</v>
      </c>
      <c r="E300" s="37">
        <f>C300/35.3*28/44*100</f>
        <v>0.0879732165851146</v>
      </c>
      <c r="I300" s="36" t="s">
        <v>165</v>
      </c>
    </row>
    <row r="301" spans="1:9">
      <c r="A301" s="36" t="s">
        <v>117</v>
      </c>
      <c r="B301" s="36" t="s">
        <v>114</v>
      </c>
      <c r="C301" s="36">
        <v>0.0317</v>
      </c>
      <c r="D301" s="35" t="s">
        <v>163</v>
      </c>
      <c r="E301" s="37">
        <f>C301/35.3*28/44*100</f>
        <v>0.0571465361833634</v>
      </c>
      <c r="I301" s="36" t="s">
        <v>165</v>
      </c>
    </row>
    <row r="302" spans="1:9">
      <c r="A302" s="36" t="s">
        <v>117</v>
      </c>
      <c r="B302" s="36" t="s">
        <v>114</v>
      </c>
      <c r="C302" s="36">
        <v>0.1204</v>
      </c>
      <c r="D302" s="35" t="s">
        <v>163</v>
      </c>
      <c r="E302" s="37">
        <f>C302/35.3*28/44*100</f>
        <v>0.217048673705898</v>
      </c>
      <c r="I302" s="36" t="s">
        <v>165</v>
      </c>
    </row>
    <row r="303" spans="1:9">
      <c r="A303" s="36" t="s">
        <v>117</v>
      </c>
      <c r="B303" s="36" t="s">
        <v>114</v>
      </c>
      <c r="C303" s="36">
        <v>0.085</v>
      </c>
      <c r="D303" s="35" t="s">
        <v>163</v>
      </c>
      <c r="E303" s="37">
        <f>C303/35.3*28/44*100</f>
        <v>0.153232037084728</v>
      </c>
      <c r="I303" s="36" t="s">
        <v>165</v>
      </c>
    </row>
    <row r="304" spans="1:9">
      <c r="A304" s="36" t="s">
        <v>117</v>
      </c>
      <c r="B304" s="36" t="s">
        <v>114</v>
      </c>
      <c r="C304" s="36">
        <v>0.0366</v>
      </c>
      <c r="D304" s="35" t="s">
        <v>163</v>
      </c>
      <c r="E304" s="37">
        <f>C304/42.5*28/44*100</f>
        <v>0.0548021390374332</v>
      </c>
      <c r="I304" s="36" t="s">
        <v>165</v>
      </c>
    </row>
    <row r="305" spans="1:9">
      <c r="A305" s="36" t="s">
        <v>117</v>
      </c>
      <c r="B305" s="36" t="s">
        <v>114</v>
      </c>
      <c r="C305" s="36">
        <v>0.0398</v>
      </c>
      <c r="D305" s="35" t="s">
        <v>163</v>
      </c>
      <c r="E305" s="37">
        <f>C305/42.5*28/44*100</f>
        <v>0.0595935828877005</v>
      </c>
      <c r="I305" s="36" t="s">
        <v>165</v>
      </c>
    </row>
    <row r="306" spans="1:9">
      <c r="A306" s="36" t="s">
        <v>117</v>
      </c>
      <c r="B306" s="36" t="s">
        <v>114</v>
      </c>
      <c r="C306" s="36">
        <v>0.8</v>
      </c>
      <c r="D306" s="35" t="s">
        <v>163</v>
      </c>
      <c r="E306" s="37">
        <f>C306/42.5*28/44*100</f>
        <v>1.19786096256685</v>
      </c>
      <c r="I306" s="36" t="s">
        <v>165</v>
      </c>
    </row>
    <row r="307" spans="1:9">
      <c r="A307" s="36" t="s">
        <v>117</v>
      </c>
      <c r="B307" s="36" t="s">
        <v>114</v>
      </c>
      <c r="C307" s="36">
        <v>0.115</v>
      </c>
      <c r="D307" s="35" t="s">
        <v>163</v>
      </c>
      <c r="E307" s="37">
        <f>C307/42.5*28/44*100</f>
        <v>0.172192513368984</v>
      </c>
      <c r="I307" s="36" t="s">
        <v>165</v>
      </c>
    </row>
    <row r="308" spans="1:9">
      <c r="A308" s="36" t="s">
        <v>117</v>
      </c>
      <c r="B308" s="36" t="s">
        <v>110</v>
      </c>
      <c r="E308" s="37">
        <v>0.00229912023460411</v>
      </c>
      <c r="G308" s="37">
        <v>0.982142857142857</v>
      </c>
      <c r="H308" s="36" t="s">
        <v>214</v>
      </c>
      <c r="I308" s="36" t="s">
        <v>169</v>
      </c>
    </row>
    <row r="309" spans="1:9">
      <c r="A309" s="36" t="s">
        <v>108</v>
      </c>
      <c r="B309" s="36" t="s">
        <v>110</v>
      </c>
      <c r="C309" s="36">
        <v>0.02</v>
      </c>
      <c r="D309" s="36" t="s">
        <v>238</v>
      </c>
      <c r="E309" s="37">
        <v>0.02</v>
      </c>
      <c r="I309" s="36" t="s">
        <v>294</v>
      </c>
    </row>
    <row r="310" spans="1:9">
      <c r="A310" s="36" t="s">
        <v>108</v>
      </c>
      <c r="B310" s="36" t="s">
        <v>110</v>
      </c>
      <c r="C310" s="36">
        <v>1.8</v>
      </c>
      <c r="D310" s="36" t="s">
        <v>238</v>
      </c>
      <c r="E310" s="37">
        <v>1.8</v>
      </c>
      <c r="I310" s="36" t="s">
        <v>294</v>
      </c>
    </row>
    <row r="311" spans="1:9">
      <c r="A311" s="36" t="s">
        <v>108</v>
      </c>
      <c r="B311" s="36" t="s">
        <v>110</v>
      </c>
      <c r="C311" s="36">
        <v>0.49</v>
      </c>
      <c r="D311" s="36" t="s">
        <v>238</v>
      </c>
      <c r="E311" s="37">
        <v>0.49</v>
      </c>
      <c r="I311" s="36" t="s">
        <v>294</v>
      </c>
    </row>
    <row r="312" spans="1:9">
      <c r="A312" s="36" t="s">
        <v>108</v>
      </c>
      <c r="B312" s="36" t="s">
        <v>110</v>
      </c>
      <c r="C312" s="36">
        <v>1.21</v>
      </c>
      <c r="D312" s="36" t="s">
        <v>238</v>
      </c>
      <c r="E312" s="37">
        <v>1.21</v>
      </c>
      <c r="G312" s="37">
        <v>0.81</v>
      </c>
      <c r="H312" s="36" t="s">
        <v>214</v>
      </c>
      <c r="I312" s="36" t="s">
        <v>294</v>
      </c>
    </row>
    <row r="313" spans="1:9">
      <c r="A313" s="36" t="s">
        <v>108</v>
      </c>
      <c r="B313" s="36" t="s">
        <v>110</v>
      </c>
      <c r="C313" s="36">
        <v>0.04</v>
      </c>
      <c r="D313" s="36" t="s">
        <v>238</v>
      </c>
      <c r="E313" s="37">
        <v>0.04</v>
      </c>
      <c r="G313" s="37">
        <v>0.84</v>
      </c>
      <c r="H313" s="36" t="s">
        <v>214</v>
      </c>
      <c r="I313" s="36" t="s">
        <v>294</v>
      </c>
    </row>
    <row r="314" spans="1:9">
      <c r="A314" s="36" t="s">
        <v>108</v>
      </c>
      <c r="B314" s="36" t="s">
        <v>110</v>
      </c>
      <c r="C314" s="36">
        <v>2.57</v>
      </c>
      <c r="D314" s="36" t="s">
        <v>238</v>
      </c>
      <c r="E314" s="37">
        <v>2.57</v>
      </c>
      <c r="G314" s="37">
        <v>0.89</v>
      </c>
      <c r="H314" s="36" t="s">
        <v>214</v>
      </c>
      <c r="I314" s="36" t="s">
        <v>294</v>
      </c>
    </row>
    <row r="315" spans="1:9">
      <c r="A315" s="36" t="s">
        <v>108</v>
      </c>
      <c r="B315" s="36" t="s">
        <v>110</v>
      </c>
      <c r="C315" s="36">
        <v>0.86</v>
      </c>
      <c r="D315" s="36" t="s">
        <v>238</v>
      </c>
      <c r="E315" s="37">
        <v>0.86</v>
      </c>
      <c r="G315" s="37">
        <v>0.95</v>
      </c>
      <c r="H315" s="36" t="s">
        <v>214</v>
      </c>
      <c r="I315" s="36" t="s">
        <v>294</v>
      </c>
    </row>
    <row r="316" spans="1:9">
      <c r="A316" s="36" t="s">
        <v>137</v>
      </c>
      <c r="B316" s="36" t="s">
        <v>114</v>
      </c>
      <c r="C316" s="36">
        <v>17.9</v>
      </c>
      <c r="D316" s="36" t="s">
        <v>211</v>
      </c>
      <c r="E316" s="37">
        <f t="shared" ref="E316:E327" si="11">C316</f>
        <v>17.9</v>
      </c>
      <c r="I316" s="36" t="s">
        <v>295</v>
      </c>
    </row>
    <row r="317" spans="1:9">
      <c r="A317" s="36" t="s">
        <v>137</v>
      </c>
      <c r="B317" s="36" t="s">
        <v>114</v>
      </c>
      <c r="C317" s="36">
        <v>0.02</v>
      </c>
      <c r="D317" s="36" t="s">
        <v>211</v>
      </c>
      <c r="E317" s="37">
        <f t="shared" si="11"/>
        <v>0.02</v>
      </c>
      <c r="I317" s="36" t="s">
        <v>295</v>
      </c>
    </row>
    <row r="318" spans="1:9">
      <c r="A318" s="36" t="s">
        <v>137</v>
      </c>
      <c r="B318" s="36" t="s">
        <v>114</v>
      </c>
      <c r="C318" s="36">
        <v>0.39</v>
      </c>
      <c r="D318" s="36" t="s">
        <v>211</v>
      </c>
      <c r="E318" s="37">
        <f t="shared" si="11"/>
        <v>0.39</v>
      </c>
      <c r="I318" s="36" t="s">
        <v>295</v>
      </c>
    </row>
    <row r="319" spans="1:9">
      <c r="A319" s="36" t="s">
        <v>137</v>
      </c>
      <c r="B319" s="36" t="s">
        <v>114</v>
      </c>
      <c r="C319" s="36">
        <v>0.38</v>
      </c>
      <c r="D319" s="36" t="s">
        <v>211</v>
      </c>
      <c r="E319" s="37">
        <f t="shared" si="11"/>
        <v>0.38</v>
      </c>
      <c r="I319" s="36" t="s">
        <v>295</v>
      </c>
    </row>
    <row r="320" spans="1:9">
      <c r="A320" s="36" t="s">
        <v>137</v>
      </c>
      <c r="B320" s="36" t="s">
        <v>114</v>
      </c>
      <c r="C320" s="36">
        <v>1.12</v>
      </c>
      <c r="D320" s="36" t="s">
        <v>211</v>
      </c>
      <c r="E320" s="37">
        <f t="shared" si="11"/>
        <v>1.12</v>
      </c>
      <c r="I320" s="36" t="s">
        <v>295</v>
      </c>
    </row>
    <row r="321" spans="1:9">
      <c r="A321" s="36" t="s">
        <v>137</v>
      </c>
      <c r="B321" s="36" t="s">
        <v>114</v>
      </c>
      <c r="C321" s="36">
        <v>0.06</v>
      </c>
      <c r="D321" s="36" t="s">
        <v>211</v>
      </c>
      <c r="E321" s="37">
        <f t="shared" si="11"/>
        <v>0.06</v>
      </c>
      <c r="I321" s="36" t="s">
        <v>295</v>
      </c>
    </row>
    <row r="322" spans="1:9">
      <c r="A322" s="36" t="s">
        <v>137</v>
      </c>
      <c r="B322" s="36" t="s">
        <v>114</v>
      </c>
      <c r="C322" s="36">
        <v>1.24</v>
      </c>
      <c r="D322" s="36" t="s">
        <v>211</v>
      </c>
      <c r="E322" s="37">
        <f t="shared" si="11"/>
        <v>1.24</v>
      </c>
      <c r="I322" s="36" t="s">
        <v>295</v>
      </c>
    </row>
    <row r="323" spans="1:9">
      <c r="A323" s="36" t="s">
        <v>137</v>
      </c>
      <c r="B323" s="36" t="s">
        <v>114</v>
      </c>
      <c r="C323" s="36">
        <v>0.29</v>
      </c>
      <c r="D323" s="36" t="s">
        <v>211</v>
      </c>
      <c r="E323" s="37">
        <f t="shared" si="11"/>
        <v>0.29</v>
      </c>
      <c r="I323" s="36" t="s">
        <v>295</v>
      </c>
    </row>
    <row r="324" spans="1:9">
      <c r="A324" s="36" t="s">
        <v>137</v>
      </c>
      <c r="B324" s="36" t="s">
        <v>114</v>
      </c>
      <c r="C324" s="36">
        <v>0.24</v>
      </c>
      <c r="D324" s="36" t="s">
        <v>211</v>
      </c>
      <c r="E324" s="37">
        <f t="shared" si="11"/>
        <v>0.24</v>
      </c>
      <c r="I324" s="36" t="s">
        <v>295</v>
      </c>
    </row>
    <row r="325" spans="1:9">
      <c r="A325" s="36" t="s">
        <v>137</v>
      </c>
      <c r="B325" s="36" t="s">
        <v>110</v>
      </c>
      <c r="C325" s="36">
        <v>0.69</v>
      </c>
      <c r="D325" s="36" t="s">
        <v>212</v>
      </c>
      <c r="E325" s="37">
        <f t="shared" si="11"/>
        <v>0.69</v>
      </c>
      <c r="I325" s="36" t="s">
        <v>296</v>
      </c>
    </row>
    <row r="326" spans="1:9">
      <c r="A326" s="36" t="s">
        <v>137</v>
      </c>
      <c r="B326" s="36" t="s">
        <v>110</v>
      </c>
      <c r="C326" s="36">
        <v>2.09</v>
      </c>
      <c r="D326" s="36" t="s">
        <v>212</v>
      </c>
      <c r="E326" s="37">
        <f t="shared" si="11"/>
        <v>2.09</v>
      </c>
      <c r="I326" s="36" t="s">
        <v>296</v>
      </c>
    </row>
    <row r="327" spans="1:9">
      <c r="A327" s="36" t="s">
        <v>137</v>
      </c>
      <c r="B327" s="36" t="s">
        <v>110</v>
      </c>
      <c r="C327" s="36">
        <v>0.89</v>
      </c>
      <c r="D327" s="36" t="s">
        <v>212</v>
      </c>
      <c r="E327" s="37">
        <f t="shared" si="11"/>
        <v>0.89</v>
      </c>
      <c r="I327" s="36" t="s">
        <v>296</v>
      </c>
    </row>
    <row r="328" spans="1:9">
      <c r="A328" s="36" t="s">
        <v>108</v>
      </c>
      <c r="B328" s="36" t="s">
        <v>110</v>
      </c>
      <c r="C328" s="36">
        <v>0.69</v>
      </c>
      <c r="D328" s="36" t="s">
        <v>238</v>
      </c>
      <c r="E328" s="37">
        <v>0.69</v>
      </c>
      <c r="I328" s="36" t="s">
        <v>297</v>
      </c>
    </row>
    <row r="329" spans="1:9">
      <c r="A329" s="36" t="s">
        <v>108</v>
      </c>
      <c r="B329" s="36" t="s">
        <v>110</v>
      </c>
      <c r="C329" s="36">
        <v>3.5</v>
      </c>
      <c r="D329" s="36" t="s">
        <v>238</v>
      </c>
      <c r="E329" s="37">
        <v>3.5</v>
      </c>
      <c r="I329" s="36" t="s">
        <v>297</v>
      </c>
    </row>
    <row r="330" spans="1:9">
      <c r="A330" s="36" t="s">
        <v>154</v>
      </c>
      <c r="B330" s="36" t="s">
        <v>110</v>
      </c>
      <c r="C330" s="36">
        <v>0.52</v>
      </c>
      <c r="D330" s="36" t="s">
        <v>238</v>
      </c>
      <c r="E330" s="37">
        <v>0.52</v>
      </c>
      <c r="I330" s="36" t="s">
        <v>298</v>
      </c>
    </row>
    <row r="331" spans="1:9">
      <c r="A331" s="36" t="s">
        <v>112</v>
      </c>
      <c r="B331" s="36" t="s">
        <v>110</v>
      </c>
      <c r="C331" s="36">
        <v>1.25</v>
      </c>
      <c r="D331" s="36" t="s">
        <v>238</v>
      </c>
      <c r="E331" s="37">
        <v>1.25</v>
      </c>
      <c r="I331" s="36" t="s">
        <v>298</v>
      </c>
    </row>
    <row r="332" spans="1:9">
      <c r="A332" s="36" t="s">
        <v>108</v>
      </c>
      <c r="B332" s="36" t="s">
        <v>110</v>
      </c>
      <c r="C332" s="36">
        <v>2.9</v>
      </c>
      <c r="D332" s="36" t="s">
        <v>220</v>
      </c>
      <c r="E332" s="37">
        <f t="shared" ref="E332:E340" si="12">C332*28/44</f>
        <v>1.84545454545455</v>
      </c>
      <c r="I332" s="36" t="s">
        <v>176</v>
      </c>
    </row>
    <row r="333" spans="1:9">
      <c r="A333" s="36" t="s">
        <v>108</v>
      </c>
      <c r="B333" s="36" t="s">
        <v>110</v>
      </c>
      <c r="C333" s="36">
        <v>3.1</v>
      </c>
      <c r="D333" s="36" t="s">
        <v>220</v>
      </c>
      <c r="E333" s="37">
        <f t="shared" si="12"/>
        <v>1.97272727272727</v>
      </c>
      <c r="I333" s="36" t="s">
        <v>176</v>
      </c>
    </row>
    <row r="334" spans="1:9">
      <c r="A334" s="36" t="s">
        <v>108</v>
      </c>
      <c r="B334" s="36" t="s">
        <v>110</v>
      </c>
      <c r="C334" s="36">
        <v>2.1</v>
      </c>
      <c r="D334" s="36" t="s">
        <v>220</v>
      </c>
      <c r="E334" s="37">
        <f t="shared" si="12"/>
        <v>1.33636363636364</v>
      </c>
      <c r="I334" s="36" t="s">
        <v>176</v>
      </c>
    </row>
    <row r="335" spans="1:9">
      <c r="A335" s="36" t="s">
        <v>108</v>
      </c>
      <c r="B335" s="36" t="s">
        <v>110</v>
      </c>
      <c r="C335" s="36">
        <v>9.5</v>
      </c>
      <c r="D335" s="36" t="s">
        <v>220</v>
      </c>
      <c r="E335" s="37">
        <f t="shared" si="12"/>
        <v>6.04545454545455</v>
      </c>
      <c r="I335" s="36" t="s">
        <v>176</v>
      </c>
    </row>
    <row r="336" spans="1:9">
      <c r="A336" s="36" t="s">
        <v>108</v>
      </c>
      <c r="B336" s="36" t="s">
        <v>110</v>
      </c>
      <c r="C336" s="36">
        <v>4.9</v>
      </c>
      <c r="D336" s="36" t="s">
        <v>220</v>
      </c>
      <c r="E336" s="37">
        <f t="shared" si="12"/>
        <v>3.11818181818182</v>
      </c>
      <c r="I336" s="36" t="s">
        <v>176</v>
      </c>
    </row>
    <row r="337" spans="1:9">
      <c r="A337" s="36" t="s">
        <v>108</v>
      </c>
      <c r="B337" s="36" t="s">
        <v>110</v>
      </c>
      <c r="C337" s="36">
        <v>3.8</v>
      </c>
      <c r="D337" s="36" t="s">
        <v>220</v>
      </c>
      <c r="E337" s="37">
        <f t="shared" si="12"/>
        <v>2.41818181818182</v>
      </c>
      <c r="I337" s="36" t="s">
        <v>176</v>
      </c>
    </row>
    <row r="338" spans="1:9">
      <c r="A338" s="36" t="s">
        <v>108</v>
      </c>
      <c r="B338" s="36" t="s">
        <v>110</v>
      </c>
      <c r="C338" s="36">
        <v>0.29</v>
      </c>
      <c r="D338" s="36" t="s">
        <v>220</v>
      </c>
      <c r="E338" s="37">
        <f t="shared" si="12"/>
        <v>0.184545454545455</v>
      </c>
      <c r="I338" s="36" t="s">
        <v>176</v>
      </c>
    </row>
    <row r="339" spans="1:9">
      <c r="A339" s="36" t="s">
        <v>108</v>
      </c>
      <c r="B339" s="36" t="s">
        <v>110</v>
      </c>
      <c r="C339" s="36">
        <v>1.4</v>
      </c>
      <c r="D339" s="36" t="s">
        <v>220</v>
      </c>
      <c r="E339" s="37">
        <f t="shared" si="12"/>
        <v>0.890909090909091</v>
      </c>
      <c r="I339" s="36" t="s">
        <v>176</v>
      </c>
    </row>
    <row r="340" spans="1:9">
      <c r="A340" s="36" t="s">
        <v>108</v>
      </c>
      <c r="B340" s="36" t="s">
        <v>110</v>
      </c>
      <c r="C340" s="36">
        <v>1.3</v>
      </c>
      <c r="D340" s="36" t="s">
        <v>220</v>
      </c>
      <c r="E340" s="37">
        <f t="shared" si="12"/>
        <v>0.827272727272727</v>
      </c>
      <c r="I340" s="36" t="s">
        <v>176</v>
      </c>
    </row>
    <row r="341" spans="1:9">
      <c r="A341" s="36" t="s">
        <v>108</v>
      </c>
      <c r="B341" s="36" t="s">
        <v>110</v>
      </c>
      <c r="C341" s="36">
        <v>1.9</v>
      </c>
      <c r="D341" s="36" t="s">
        <v>211</v>
      </c>
      <c r="E341" s="37">
        <v>1.9</v>
      </c>
      <c r="I341" s="36" t="s">
        <v>299</v>
      </c>
    </row>
    <row r="342" spans="1:9">
      <c r="A342" s="36" t="s">
        <v>263</v>
      </c>
      <c r="B342" s="36" t="s">
        <v>114</v>
      </c>
      <c r="E342" s="37">
        <v>0.252</v>
      </c>
      <c r="H342" s="36" t="s">
        <v>214</v>
      </c>
      <c r="I342" s="36" t="s">
        <v>300</v>
      </c>
    </row>
    <row r="343" spans="1:9">
      <c r="A343" s="36" t="s">
        <v>263</v>
      </c>
      <c r="B343" s="36" t="s">
        <v>114</v>
      </c>
      <c r="E343" s="37">
        <v>0.049802371541502</v>
      </c>
      <c r="H343" s="36" t="s">
        <v>214</v>
      </c>
      <c r="I343" s="36" t="s">
        <v>300</v>
      </c>
    </row>
    <row r="344" spans="1:9">
      <c r="A344" s="36" t="s">
        <v>136</v>
      </c>
      <c r="B344" s="36" t="s">
        <v>110</v>
      </c>
      <c r="C344" s="36">
        <v>0.147</v>
      </c>
      <c r="D344" s="36" t="s">
        <v>211</v>
      </c>
      <c r="E344" s="37">
        <v>0.147</v>
      </c>
      <c r="I344" s="36" t="s">
        <v>181</v>
      </c>
    </row>
    <row r="345" spans="1:9">
      <c r="A345" s="36" t="s">
        <v>126</v>
      </c>
      <c r="B345" s="36" t="s">
        <v>114</v>
      </c>
      <c r="C345" s="36">
        <v>6.15</v>
      </c>
      <c r="D345" s="36" t="s">
        <v>243</v>
      </c>
      <c r="E345" s="37">
        <f t="shared" ref="E345:E353" si="13">C345*F345</f>
        <v>3.5730407523511</v>
      </c>
      <c r="F345" s="37">
        <v>0.58098223615465</v>
      </c>
      <c r="I345" s="36" t="s">
        <v>301</v>
      </c>
    </row>
    <row r="346" spans="1:9">
      <c r="A346" s="36" t="s">
        <v>126</v>
      </c>
      <c r="B346" s="36" t="s">
        <v>114</v>
      </c>
      <c r="C346" s="36">
        <v>0.45</v>
      </c>
      <c r="D346" s="36" t="s">
        <v>243</v>
      </c>
      <c r="E346" s="37">
        <f t="shared" si="13"/>
        <v>0.3879</v>
      </c>
      <c r="F346" s="37">
        <v>0.862</v>
      </c>
      <c r="I346" s="36" t="s">
        <v>301</v>
      </c>
    </row>
    <row r="347" spans="1:9">
      <c r="A347" s="36" t="s">
        <v>126</v>
      </c>
      <c r="B347" s="36" t="s">
        <v>114</v>
      </c>
      <c r="C347" s="36">
        <v>9.18</v>
      </c>
      <c r="D347" s="36" t="s">
        <v>243</v>
      </c>
      <c r="E347" s="37">
        <f t="shared" si="13"/>
        <v>4.4982</v>
      </c>
      <c r="F347" s="37">
        <v>0.49</v>
      </c>
      <c r="I347" s="36" t="s">
        <v>301</v>
      </c>
    </row>
    <row r="348" spans="1:9">
      <c r="A348" s="36" t="s">
        <v>126</v>
      </c>
      <c r="B348" s="36" t="s">
        <v>114</v>
      </c>
      <c r="C348" s="36">
        <v>0.408</v>
      </c>
      <c r="D348" s="36" t="s">
        <v>243</v>
      </c>
      <c r="E348" s="37">
        <f t="shared" si="13"/>
        <v>0.332928</v>
      </c>
      <c r="F348" s="37">
        <v>0.816</v>
      </c>
      <c r="I348" s="36" t="s">
        <v>301</v>
      </c>
    </row>
    <row r="349" spans="1:9">
      <c r="A349" s="36" t="s">
        <v>126</v>
      </c>
      <c r="B349" s="36" t="s">
        <v>114</v>
      </c>
      <c r="C349" s="36">
        <v>0.043</v>
      </c>
      <c r="D349" s="36" t="s">
        <v>243</v>
      </c>
      <c r="E349" s="37">
        <f t="shared" si="13"/>
        <v>0.038829</v>
      </c>
      <c r="F349" s="37">
        <v>0.903</v>
      </c>
      <c r="I349" s="36" t="s">
        <v>301</v>
      </c>
    </row>
    <row r="350" spans="1:9">
      <c r="A350" s="36" t="s">
        <v>126</v>
      </c>
      <c r="B350" s="36" t="s">
        <v>114</v>
      </c>
      <c r="C350" s="36">
        <v>0.061</v>
      </c>
      <c r="D350" s="36" t="s">
        <v>243</v>
      </c>
      <c r="E350" s="37">
        <f t="shared" si="13"/>
        <v>0.054839</v>
      </c>
      <c r="F350" s="37">
        <v>0.899</v>
      </c>
      <c r="I350" s="36" t="s">
        <v>301</v>
      </c>
    </row>
    <row r="351" spans="1:9">
      <c r="A351" s="36" t="s">
        <v>154</v>
      </c>
      <c r="B351" s="36" t="s">
        <v>110</v>
      </c>
      <c r="C351" s="36">
        <v>0.14</v>
      </c>
      <c r="D351" s="36" t="s">
        <v>217</v>
      </c>
      <c r="E351" s="37">
        <f t="shared" si="13"/>
        <v>0.126419161676647</v>
      </c>
      <c r="F351" s="37">
        <f>1-(8.1/83.5)</f>
        <v>0.902994011976048</v>
      </c>
      <c r="G351" s="37">
        <f>(12.44+21.51+35.66+58.21+4316.93+4816.12)/(4509.85+5090.65)</f>
        <v>0.964623717514713</v>
      </c>
      <c r="I351" s="36" t="s">
        <v>183</v>
      </c>
    </row>
    <row r="352" spans="1:9">
      <c r="A352" s="36" t="s">
        <v>126</v>
      </c>
      <c r="B352" s="36" t="s">
        <v>110</v>
      </c>
      <c r="C352" s="36">
        <v>0.128</v>
      </c>
      <c r="D352" s="36" t="s">
        <v>217</v>
      </c>
      <c r="E352" s="37">
        <f t="shared" si="13"/>
        <v>0.121774784885896</v>
      </c>
      <c r="F352" s="37">
        <f>1-(3.9/80.19)</f>
        <v>0.951365506921062</v>
      </c>
      <c r="G352" s="37">
        <f>(4.53+6.05+31.23+37.87+3521.44+4216.31)/(3857.12+4845.03)</f>
        <v>0.898333170538315</v>
      </c>
      <c r="I352" s="36" t="s">
        <v>183</v>
      </c>
    </row>
    <row r="353" spans="1:9">
      <c r="A353" s="36" t="s">
        <v>126</v>
      </c>
      <c r="B353" s="36" t="s">
        <v>110</v>
      </c>
      <c r="C353" s="36">
        <v>0.114</v>
      </c>
      <c r="D353" s="36" t="s">
        <v>217</v>
      </c>
      <c r="E353" s="37">
        <f t="shared" si="13"/>
        <v>0.105677233429395</v>
      </c>
      <c r="F353" s="37">
        <f>1-(7.6/104.1)</f>
        <v>0.926993275696446</v>
      </c>
      <c r="G353" s="37">
        <f>(5.06+10.93+6.34+13.11+2061.61+2256.19)/(2177.63+2450.18)</f>
        <v>0.940669560764163</v>
      </c>
      <c r="I353" s="36" t="s">
        <v>183</v>
      </c>
    </row>
    <row r="354" spans="1:9">
      <c r="A354" s="36" t="s">
        <v>108</v>
      </c>
      <c r="B354" s="36" t="s">
        <v>110</v>
      </c>
      <c r="C354" s="36">
        <v>0.04</v>
      </c>
      <c r="D354" s="36" t="s">
        <v>211</v>
      </c>
      <c r="E354" s="37">
        <v>0.04</v>
      </c>
      <c r="I354" s="36" t="s">
        <v>302</v>
      </c>
    </row>
    <row r="355" spans="1:9">
      <c r="A355" s="36" t="s">
        <v>108</v>
      </c>
      <c r="B355" s="36" t="s">
        <v>110</v>
      </c>
      <c r="C355" s="36">
        <v>0.26</v>
      </c>
      <c r="D355" s="36" t="s">
        <v>211</v>
      </c>
      <c r="E355" s="37">
        <v>0.26</v>
      </c>
      <c r="I355" s="36" t="s">
        <v>302</v>
      </c>
    </row>
    <row r="356" spans="1:9">
      <c r="A356" s="36" t="s">
        <v>108</v>
      </c>
      <c r="B356" s="36" t="s">
        <v>110</v>
      </c>
      <c r="C356" s="36">
        <v>0.3</v>
      </c>
      <c r="D356" s="36" t="s">
        <v>211</v>
      </c>
      <c r="E356" s="37">
        <v>0.3</v>
      </c>
      <c r="I356" s="36" t="s">
        <v>302</v>
      </c>
    </row>
    <row r="357" spans="1:9">
      <c r="A357" s="36" t="s">
        <v>108</v>
      </c>
      <c r="B357" s="36" t="s">
        <v>110</v>
      </c>
      <c r="C357" s="36">
        <v>0.02</v>
      </c>
      <c r="D357" s="36" t="s">
        <v>211</v>
      </c>
      <c r="E357" s="37">
        <v>0.02</v>
      </c>
      <c r="I357" s="36" t="s">
        <v>303</v>
      </c>
    </row>
    <row r="358" spans="1:9">
      <c r="A358" s="36" t="s">
        <v>249</v>
      </c>
      <c r="B358" s="36" t="s">
        <v>110</v>
      </c>
      <c r="C358" s="36">
        <v>0.04</v>
      </c>
      <c r="D358" s="36" t="s">
        <v>238</v>
      </c>
      <c r="E358" s="37">
        <v>0.04</v>
      </c>
      <c r="I358" s="36" t="s">
        <v>304</v>
      </c>
    </row>
    <row r="359" spans="1:9">
      <c r="A359" s="36" t="s">
        <v>174</v>
      </c>
      <c r="B359" s="36" t="s">
        <v>110</v>
      </c>
      <c r="C359" s="36">
        <v>0.005</v>
      </c>
      <c r="D359" s="36" t="s">
        <v>238</v>
      </c>
      <c r="E359" s="37">
        <v>0.005</v>
      </c>
      <c r="I359" s="36" t="s">
        <v>304</v>
      </c>
    </row>
    <row r="360" spans="1:9">
      <c r="A360" s="36" t="s">
        <v>108</v>
      </c>
      <c r="B360" s="36" t="s">
        <v>110</v>
      </c>
      <c r="E360" s="37">
        <v>0.374385245901639</v>
      </c>
      <c r="H360" s="36" t="s">
        <v>214</v>
      </c>
      <c r="I360" s="36" t="s">
        <v>305</v>
      </c>
    </row>
    <row r="361" spans="1:9">
      <c r="A361" s="36" t="s">
        <v>108</v>
      </c>
      <c r="B361" s="36" t="s">
        <v>110</v>
      </c>
      <c r="E361" s="37">
        <v>0.394533902415365</v>
      </c>
      <c r="H361" s="36" t="s">
        <v>214</v>
      </c>
      <c r="I361" s="36" t="s">
        <v>305</v>
      </c>
    </row>
    <row r="362" spans="1:9">
      <c r="A362" s="36" t="s">
        <v>249</v>
      </c>
      <c r="B362" s="36" t="s">
        <v>110</v>
      </c>
      <c r="E362" s="37">
        <v>0.00854090471607315</v>
      </c>
      <c r="H362" s="36" t="s">
        <v>214</v>
      </c>
      <c r="I362" s="36" t="s">
        <v>305</v>
      </c>
    </row>
    <row r="363" spans="1:9">
      <c r="A363" s="36" t="s">
        <v>249</v>
      </c>
      <c r="B363" s="36" t="s">
        <v>110</v>
      </c>
      <c r="E363" s="37">
        <v>0.216716417910448</v>
      </c>
      <c r="H363" s="36" t="s">
        <v>214</v>
      </c>
      <c r="I363" s="36" t="s">
        <v>305</v>
      </c>
    </row>
    <row r="364" spans="1:9">
      <c r="A364" s="36" t="s">
        <v>184</v>
      </c>
      <c r="B364" s="36" t="s">
        <v>110</v>
      </c>
      <c r="C364" s="36">
        <v>0.13</v>
      </c>
      <c r="D364" s="36" t="s">
        <v>283</v>
      </c>
      <c r="E364" s="37">
        <f>C364*28/44</f>
        <v>0.0827272727272727</v>
      </c>
      <c r="I364" s="36" t="s">
        <v>185</v>
      </c>
    </row>
    <row r="365" spans="1:9">
      <c r="A365" s="36" t="s">
        <v>184</v>
      </c>
      <c r="B365" s="36" t="s">
        <v>110</v>
      </c>
      <c r="C365" s="36">
        <v>0.03</v>
      </c>
      <c r="D365" s="36" t="s">
        <v>283</v>
      </c>
      <c r="E365" s="37">
        <f>C365*28/44</f>
        <v>0.0190909090909091</v>
      </c>
      <c r="I365" s="36" t="s">
        <v>185</v>
      </c>
    </row>
    <row r="366" spans="1:9">
      <c r="A366" s="36" t="s">
        <v>184</v>
      </c>
      <c r="B366" s="36" t="s">
        <v>110</v>
      </c>
      <c r="C366" s="36">
        <v>0.02</v>
      </c>
      <c r="D366" s="36" t="s">
        <v>283</v>
      </c>
      <c r="E366" s="37">
        <f>C366*28/44</f>
        <v>0.0127272727272727</v>
      </c>
      <c r="I366" s="36" t="s">
        <v>185</v>
      </c>
    </row>
    <row r="367" spans="1:9">
      <c r="A367" s="36" t="s">
        <v>184</v>
      </c>
      <c r="B367" s="36" t="s">
        <v>110</v>
      </c>
      <c r="C367" s="36">
        <v>0.08</v>
      </c>
      <c r="D367" s="36" t="s">
        <v>283</v>
      </c>
      <c r="E367" s="37">
        <f>C367*28/44</f>
        <v>0.0509090909090909</v>
      </c>
      <c r="I367" s="36" t="s">
        <v>185</v>
      </c>
    </row>
    <row r="368" spans="1:9">
      <c r="A368" s="36" t="s">
        <v>112</v>
      </c>
      <c r="B368" s="36" t="s">
        <v>110</v>
      </c>
      <c r="C368" s="36">
        <v>3</v>
      </c>
      <c r="D368" s="36" t="s">
        <v>306</v>
      </c>
      <c r="E368" s="37">
        <f>C368*(38.7/69)/1000*100</f>
        <v>0.168260869565217</v>
      </c>
      <c r="I368" s="36" t="s">
        <v>307</v>
      </c>
    </row>
    <row r="369" spans="1:9">
      <c r="A369" s="36" t="s">
        <v>112</v>
      </c>
      <c r="B369" s="36" t="s">
        <v>110</v>
      </c>
      <c r="C369" s="36">
        <v>39</v>
      </c>
      <c r="D369" s="36" t="s">
        <v>306</v>
      </c>
      <c r="E369" s="37">
        <f>C369*(38.7/69)/1000*100</f>
        <v>2.18739130434783</v>
      </c>
      <c r="I369" s="36" t="s">
        <v>307</v>
      </c>
    </row>
    <row r="370" spans="1:9">
      <c r="A370" s="36" t="s">
        <v>112</v>
      </c>
      <c r="B370" s="36" t="s">
        <v>110</v>
      </c>
      <c r="C370" s="36">
        <v>46</v>
      </c>
      <c r="D370" s="36" t="s">
        <v>306</v>
      </c>
      <c r="E370" s="37">
        <f>C370*(38.7/69)/1000*100</f>
        <v>2.58</v>
      </c>
      <c r="I370" s="36" t="s">
        <v>307</v>
      </c>
    </row>
    <row r="371" spans="1:9">
      <c r="A371" s="36" t="s">
        <v>112</v>
      </c>
      <c r="B371" s="36" t="s">
        <v>110</v>
      </c>
      <c r="C371" s="36">
        <v>7.83</v>
      </c>
      <c r="D371" s="36" t="s">
        <v>306</v>
      </c>
      <c r="E371" s="37">
        <f>C371*(38.7/69)/1000*100</f>
        <v>0.439160869565217</v>
      </c>
      <c r="I371" s="36" t="s">
        <v>307</v>
      </c>
    </row>
    <row r="372" spans="1:9">
      <c r="A372" s="36" t="s">
        <v>117</v>
      </c>
      <c r="B372" s="36" t="s">
        <v>110</v>
      </c>
      <c r="C372" s="36">
        <v>0.116</v>
      </c>
      <c r="D372" s="36" t="s">
        <v>238</v>
      </c>
      <c r="E372" s="37">
        <v>0.116</v>
      </c>
      <c r="I372" s="36" t="s">
        <v>187</v>
      </c>
    </row>
    <row r="373" spans="1:9">
      <c r="A373" s="36" t="s">
        <v>184</v>
      </c>
      <c r="B373" s="36" t="s">
        <v>110</v>
      </c>
      <c r="E373" s="37">
        <v>0.0103824480224779</v>
      </c>
      <c r="G373" s="37">
        <v>0.841549295774648</v>
      </c>
      <c r="I373" s="36" t="s">
        <v>190</v>
      </c>
    </row>
    <row r="374" spans="1:9">
      <c r="A374" s="36" t="s">
        <v>108</v>
      </c>
      <c r="B374" s="36" t="s">
        <v>110</v>
      </c>
      <c r="C374" s="36">
        <v>0.073</v>
      </c>
      <c r="D374" s="36" t="s">
        <v>220</v>
      </c>
      <c r="E374" s="37">
        <f>C374*28/44</f>
        <v>0.0464545454545455</v>
      </c>
      <c r="H374" s="36" t="s">
        <v>308</v>
      </c>
      <c r="I374" s="36" t="s">
        <v>193</v>
      </c>
    </row>
    <row r="375" spans="1:9">
      <c r="A375" s="36" t="s">
        <v>108</v>
      </c>
      <c r="B375" s="36" t="s">
        <v>110</v>
      </c>
      <c r="C375" s="36">
        <v>2.091</v>
      </c>
      <c r="D375" s="36" t="s">
        <v>220</v>
      </c>
      <c r="E375" s="37">
        <f>C375*28/44</f>
        <v>1.33063636363636</v>
      </c>
      <c r="H375" s="36" t="s">
        <v>308</v>
      </c>
      <c r="I375" s="36" t="s">
        <v>193</v>
      </c>
    </row>
    <row r="376" spans="1:9">
      <c r="A376" s="36" t="s">
        <v>108</v>
      </c>
      <c r="B376" s="36" t="s">
        <v>110</v>
      </c>
      <c r="C376" s="36">
        <v>0.021</v>
      </c>
      <c r="D376" s="36" t="s">
        <v>211</v>
      </c>
      <c r="E376" s="37">
        <v>0.021</v>
      </c>
      <c r="I376" s="36" t="s">
        <v>309</v>
      </c>
    </row>
    <row r="377" spans="1:9">
      <c r="A377" s="36" t="s">
        <v>137</v>
      </c>
      <c r="B377" s="36" t="s">
        <v>114</v>
      </c>
      <c r="C377" s="36">
        <v>1</v>
      </c>
      <c r="D377" s="36" t="s">
        <v>211</v>
      </c>
      <c r="E377" s="37">
        <v>1</v>
      </c>
      <c r="I377" s="36" t="s">
        <v>310</v>
      </c>
    </row>
    <row r="378" spans="1:9">
      <c r="A378" s="36" t="s">
        <v>137</v>
      </c>
      <c r="B378" s="36" t="s">
        <v>114</v>
      </c>
      <c r="C378" s="36">
        <v>1.3</v>
      </c>
      <c r="D378" s="36" t="s">
        <v>211</v>
      </c>
      <c r="E378" s="37">
        <v>1.3</v>
      </c>
      <c r="I378" s="36" t="s">
        <v>310</v>
      </c>
    </row>
    <row r="379" spans="1:9">
      <c r="A379" s="36" t="s">
        <v>184</v>
      </c>
      <c r="B379" s="36" t="s">
        <v>114</v>
      </c>
      <c r="C379" s="36">
        <v>0.2</v>
      </c>
      <c r="D379" s="36" t="s">
        <v>211</v>
      </c>
      <c r="E379" s="37">
        <v>0.2</v>
      </c>
      <c r="I379" s="36" t="s">
        <v>310</v>
      </c>
    </row>
    <row r="380" spans="1:9">
      <c r="A380" s="36" t="s">
        <v>184</v>
      </c>
      <c r="B380" s="36" t="s">
        <v>114</v>
      </c>
      <c r="C380" s="36">
        <v>1</v>
      </c>
      <c r="D380" s="36" t="s">
        <v>211</v>
      </c>
      <c r="E380" s="37">
        <v>1</v>
      </c>
      <c r="I380" s="36" t="s">
        <v>310</v>
      </c>
    </row>
    <row r="381" spans="1:9">
      <c r="A381" s="36" t="s">
        <v>184</v>
      </c>
      <c r="B381" s="36" t="s">
        <v>114</v>
      </c>
      <c r="C381" s="36">
        <v>1.3</v>
      </c>
      <c r="D381" s="36" t="s">
        <v>211</v>
      </c>
      <c r="E381" s="37">
        <v>1.3</v>
      </c>
      <c r="I381" s="36" t="s">
        <v>310</v>
      </c>
    </row>
    <row r="382" spans="1:9">
      <c r="A382" s="36" t="s">
        <v>184</v>
      </c>
      <c r="B382" s="36" t="s">
        <v>114</v>
      </c>
      <c r="C382" s="36">
        <v>0.04</v>
      </c>
      <c r="D382" s="36" t="s">
        <v>211</v>
      </c>
      <c r="E382" s="37">
        <v>0.04</v>
      </c>
      <c r="I382" s="36" t="s">
        <v>310</v>
      </c>
    </row>
    <row r="383" spans="1:9">
      <c r="A383" s="36" t="s">
        <v>184</v>
      </c>
      <c r="B383" s="36" t="s">
        <v>114</v>
      </c>
      <c r="C383" s="36">
        <v>1.8</v>
      </c>
      <c r="D383" s="36" t="s">
        <v>211</v>
      </c>
      <c r="E383" s="37">
        <v>1.8</v>
      </c>
      <c r="I383" s="36" t="s">
        <v>310</v>
      </c>
    </row>
    <row r="384" spans="1:9">
      <c r="A384" s="36" t="s">
        <v>184</v>
      </c>
      <c r="B384" s="36" t="s">
        <v>114</v>
      </c>
      <c r="C384" s="36">
        <v>0.24</v>
      </c>
      <c r="D384" s="36" t="s">
        <v>211</v>
      </c>
      <c r="E384" s="37">
        <v>0.24</v>
      </c>
      <c r="I384" s="36" t="s">
        <v>310</v>
      </c>
    </row>
    <row r="385" spans="1:9">
      <c r="A385" s="36" t="s">
        <v>184</v>
      </c>
      <c r="B385" s="36" t="s">
        <v>114</v>
      </c>
      <c r="C385" s="36">
        <v>0.09</v>
      </c>
      <c r="D385" s="36" t="s">
        <v>211</v>
      </c>
      <c r="E385" s="37">
        <v>0.09</v>
      </c>
      <c r="I385" s="36" t="s">
        <v>310</v>
      </c>
    </row>
    <row r="386" spans="1:9">
      <c r="A386" s="36" t="s">
        <v>184</v>
      </c>
      <c r="B386" s="36" t="s">
        <v>114</v>
      </c>
      <c r="C386" s="36">
        <v>1.7</v>
      </c>
      <c r="D386" s="36" t="s">
        <v>211</v>
      </c>
      <c r="E386" s="37">
        <v>1.7</v>
      </c>
      <c r="I386" s="36" t="s">
        <v>310</v>
      </c>
    </row>
    <row r="387" spans="1:9">
      <c r="A387" s="36" t="s">
        <v>136</v>
      </c>
      <c r="B387" s="36" t="s">
        <v>110</v>
      </c>
      <c r="E387" s="37">
        <v>0.209991550031628</v>
      </c>
      <c r="H387" s="36" t="s">
        <v>214</v>
      </c>
      <c r="I387" s="36" t="s">
        <v>311</v>
      </c>
    </row>
    <row r="388" spans="1:9">
      <c r="A388" s="36" t="s">
        <v>136</v>
      </c>
      <c r="B388" s="36" t="s">
        <v>110</v>
      </c>
      <c r="E388" s="37">
        <v>0.19233266766984</v>
      </c>
      <c r="H388" s="36" t="s">
        <v>214</v>
      </c>
      <c r="I388" s="36" t="s">
        <v>311</v>
      </c>
    </row>
    <row r="389" spans="1:9">
      <c r="A389" s="36" t="s">
        <v>136</v>
      </c>
      <c r="B389" s="36" t="s">
        <v>110</v>
      </c>
      <c r="E389" s="37">
        <v>0.150195745366802</v>
      </c>
      <c r="H389" s="36" t="s">
        <v>214</v>
      </c>
      <c r="I389" s="36" t="s">
        <v>311</v>
      </c>
    </row>
    <row r="390" spans="1:9">
      <c r="A390" s="36" t="s">
        <v>136</v>
      </c>
      <c r="B390" s="36" t="s">
        <v>110</v>
      </c>
      <c r="E390" s="37">
        <v>0.125136101198122</v>
      </c>
      <c r="H390" s="36" t="s">
        <v>214</v>
      </c>
      <c r="I390" s="36" t="s">
        <v>311</v>
      </c>
    </row>
    <row r="391" spans="1:9">
      <c r="A391" s="36" t="s">
        <v>126</v>
      </c>
      <c r="B391" s="36" t="s">
        <v>110</v>
      </c>
      <c r="E391" s="37">
        <v>0.576297306175595</v>
      </c>
      <c r="H391" s="36" t="s">
        <v>214</v>
      </c>
      <c r="I391" s="36" t="s">
        <v>312</v>
      </c>
    </row>
    <row r="392" spans="1:9">
      <c r="A392" s="42" t="s">
        <v>139</v>
      </c>
      <c r="B392" s="36" t="s">
        <v>110</v>
      </c>
      <c r="E392" s="37">
        <v>0.0149129782891007</v>
      </c>
      <c r="H392" s="36" t="s">
        <v>214</v>
      </c>
      <c r="I392" s="36" t="s">
        <v>312</v>
      </c>
    </row>
    <row r="393" spans="1:9">
      <c r="A393" s="36" t="s">
        <v>112</v>
      </c>
      <c r="B393" s="36" t="s">
        <v>110</v>
      </c>
      <c r="E393" s="37">
        <v>0.335425111948449</v>
      </c>
      <c r="H393" s="36" t="s">
        <v>214</v>
      </c>
      <c r="I393" s="36" t="s">
        <v>312</v>
      </c>
    </row>
    <row r="394" spans="1:9">
      <c r="A394" s="36" t="s">
        <v>160</v>
      </c>
      <c r="B394" s="36" t="s">
        <v>114</v>
      </c>
      <c r="C394" s="36">
        <v>0.31</v>
      </c>
      <c r="D394" s="36" t="s">
        <v>211</v>
      </c>
      <c r="E394" s="37">
        <f t="shared" ref="E394:E403" si="14">C394</f>
        <v>0.31</v>
      </c>
      <c r="I394" s="36" t="s">
        <v>194</v>
      </c>
    </row>
    <row r="395" spans="1:9">
      <c r="A395" s="36" t="s">
        <v>160</v>
      </c>
      <c r="B395" s="36" t="s">
        <v>114</v>
      </c>
      <c r="C395" s="36">
        <v>0.043</v>
      </c>
      <c r="D395" s="36" t="s">
        <v>211</v>
      </c>
      <c r="E395" s="37">
        <f t="shared" si="14"/>
        <v>0.043</v>
      </c>
      <c r="I395" s="36" t="s">
        <v>194</v>
      </c>
    </row>
    <row r="396" spans="1:9">
      <c r="A396" s="36" t="s">
        <v>160</v>
      </c>
      <c r="B396" s="36" t="s">
        <v>114</v>
      </c>
      <c r="C396" s="36">
        <v>0.037</v>
      </c>
      <c r="D396" s="36" t="s">
        <v>211</v>
      </c>
      <c r="E396" s="37">
        <f t="shared" si="14"/>
        <v>0.037</v>
      </c>
      <c r="I396" s="36" t="s">
        <v>194</v>
      </c>
    </row>
    <row r="397" spans="1:9">
      <c r="A397" s="36" t="s">
        <v>160</v>
      </c>
      <c r="B397" s="36" t="s">
        <v>114</v>
      </c>
      <c r="C397" s="36">
        <v>1.6</v>
      </c>
      <c r="D397" s="36" t="s">
        <v>211</v>
      </c>
      <c r="E397" s="37">
        <f t="shared" si="14"/>
        <v>1.6</v>
      </c>
      <c r="I397" s="36" t="s">
        <v>194</v>
      </c>
    </row>
    <row r="398" spans="1:9">
      <c r="A398" s="36" t="s">
        <v>160</v>
      </c>
      <c r="B398" s="36" t="s">
        <v>114</v>
      </c>
      <c r="C398" s="36">
        <v>0.13</v>
      </c>
      <c r="D398" s="36" t="s">
        <v>211</v>
      </c>
      <c r="E398" s="37">
        <f t="shared" si="14"/>
        <v>0.13</v>
      </c>
      <c r="I398" s="36" t="s">
        <v>194</v>
      </c>
    </row>
    <row r="399" spans="1:9">
      <c r="A399" s="36" t="s">
        <v>160</v>
      </c>
      <c r="B399" s="36" t="s">
        <v>114</v>
      </c>
      <c r="C399" s="36">
        <v>0.0037</v>
      </c>
      <c r="D399" s="36" t="s">
        <v>211</v>
      </c>
      <c r="E399" s="37">
        <f t="shared" si="14"/>
        <v>0.0037</v>
      </c>
      <c r="I399" s="36" t="s">
        <v>194</v>
      </c>
    </row>
    <row r="400" spans="1:9">
      <c r="A400" s="36" t="s">
        <v>160</v>
      </c>
      <c r="B400" s="36" t="s">
        <v>114</v>
      </c>
      <c r="C400" s="36">
        <v>0.19</v>
      </c>
      <c r="D400" s="36" t="s">
        <v>211</v>
      </c>
      <c r="E400" s="37">
        <f t="shared" si="14"/>
        <v>0.19</v>
      </c>
      <c r="I400" s="36" t="s">
        <v>194</v>
      </c>
    </row>
    <row r="401" spans="1:9">
      <c r="A401" s="36" t="s">
        <v>160</v>
      </c>
      <c r="B401" s="36" t="s">
        <v>114</v>
      </c>
      <c r="C401" s="36">
        <v>1.4</v>
      </c>
      <c r="D401" s="36" t="s">
        <v>211</v>
      </c>
      <c r="E401" s="37">
        <f t="shared" si="14"/>
        <v>1.4</v>
      </c>
      <c r="I401" s="36" t="s">
        <v>194</v>
      </c>
    </row>
    <row r="402" spans="1:9">
      <c r="A402" s="36" t="s">
        <v>160</v>
      </c>
      <c r="B402" s="36" t="s">
        <v>114</v>
      </c>
      <c r="C402" s="36">
        <v>0.53</v>
      </c>
      <c r="D402" s="36" t="s">
        <v>211</v>
      </c>
      <c r="E402" s="37">
        <f t="shared" si="14"/>
        <v>0.53</v>
      </c>
      <c r="I402" s="36" t="s">
        <v>194</v>
      </c>
    </row>
    <row r="403" spans="1:9">
      <c r="A403" s="36" t="s">
        <v>160</v>
      </c>
      <c r="B403" s="36" t="s">
        <v>114</v>
      </c>
      <c r="C403" s="36">
        <v>0.044</v>
      </c>
      <c r="D403" s="36" t="s">
        <v>211</v>
      </c>
      <c r="E403" s="37">
        <f t="shared" si="14"/>
        <v>0.044</v>
      </c>
      <c r="I403" s="36" t="s">
        <v>194</v>
      </c>
    </row>
    <row r="404" spans="1:9">
      <c r="A404" s="36" t="s">
        <v>154</v>
      </c>
      <c r="B404" s="36" t="s">
        <v>110</v>
      </c>
      <c r="C404" s="36">
        <v>0.52</v>
      </c>
      <c r="D404" s="36" t="s">
        <v>211</v>
      </c>
      <c r="E404" s="37">
        <v>0.52</v>
      </c>
      <c r="I404" s="36" t="s">
        <v>313</v>
      </c>
    </row>
    <row r="405" spans="1:9">
      <c r="A405" s="36" t="s">
        <v>112</v>
      </c>
      <c r="B405" s="36" t="s">
        <v>110</v>
      </c>
      <c r="C405" s="36">
        <v>1.25</v>
      </c>
      <c r="D405" s="36" t="s">
        <v>211</v>
      </c>
      <c r="E405" s="37">
        <v>1.25</v>
      </c>
      <c r="I405" s="36" t="s">
        <v>313</v>
      </c>
    </row>
    <row r="406" spans="1:9">
      <c r="A406" s="36" t="s">
        <v>137</v>
      </c>
      <c r="B406" s="36" t="s">
        <v>110</v>
      </c>
      <c r="C406" s="36">
        <v>1.61</v>
      </c>
      <c r="D406" s="36" t="s">
        <v>211</v>
      </c>
      <c r="E406" s="37">
        <v>1.61</v>
      </c>
      <c r="I406" s="36" t="s">
        <v>313</v>
      </c>
    </row>
    <row r="407" spans="1:9">
      <c r="A407" s="36" t="s">
        <v>184</v>
      </c>
      <c r="B407" s="36" t="s">
        <v>110</v>
      </c>
      <c r="C407" s="36">
        <v>0.001</v>
      </c>
      <c r="D407" s="36" t="s">
        <v>211</v>
      </c>
      <c r="E407" s="37">
        <f>C407</f>
        <v>0.001</v>
      </c>
      <c r="I407" s="36" t="s">
        <v>314</v>
      </c>
    </row>
    <row r="408" spans="1:9">
      <c r="A408" s="36" t="s">
        <v>184</v>
      </c>
      <c r="B408" s="36" t="s">
        <v>110</v>
      </c>
      <c r="C408" s="36">
        <v>0.005</v>
      </c>
      <c r="D408" s="36" t="s">
        <v>211</v>
      </c>
      <c r="E408" s="37">
        <f>C408</f>
        <v>0.005</v>
      </c>
      <c r="I408" s="36" t="s">
        <v>314</v>
      </c>
    </row>
    <row r="409" spans="1:9">
      <c r="A409" s="36" t="s">
        <v>108</v>
      </c>
      <c r="B409" s="36" t="s">
        <v>110</v>
      </c>
      <c r="C409" s="36">
        <v>0.001</v>
      </c>
      <c r="D409" s="36" t="s">
        <v>211</v>
      </c>
      <c r="E409" s="37">
        <v>0.001</v>
      </c>
      <c r="I409" s="36" t="s">
        <v>315</v>
      </c>
    </row>
    <row r="410" spans="1:9">
      <c r="A410" s="36" t="s">
        <v>117</v>
      </c>
      <c r="B410" s="36" t="s">
        <v>114</v>
      </c>
      <c r="C410" s="36">
        <v>1.6</v>
      </c>
      <c r="D410" s="36" t="s">
        <v>211</v>
      </c>
      <c r="E410" s="37">
        <f t="shared" ref="E410:E416" si="15">C410</f>
        <v>1.6</v>
      </c>
      <c r="G410" s="37">
        <v>0.99790373296783</v>
      </c>
      <c r="I410" s="36" t="s">
        <v>316</v>
      </c>
    </row>
    <row r="411" spans="1:9">
      <c r="A411" s="36" t="s">
        <v>117</v>
      </c>
      <c r="B411" s="36" t="s">
        <v>114</v>
      </c>
      <c r="C411" s="36">
        <v>0.97</v>
      </c>
      <c r="D411" s="36" t="s">
        <v>211</v>
      </c>
      <c r="E411" s="37">
        <f t="shared" si="15"/>
        <v>0.97</v>
      </c>
      <c r="I411" s="36" t="s">
        <v>316</v>
      </c>
    </row>
    <row r="412" spans="1:9">
      <c r="A412" s="36" t="s">
        <v>117</v>
      </c>
      <c r="B412" s="36" t="s">
        <v>114</v>
      </c>
      <c r="C412" s="36">
        <v>0.21</v>
      </c>
      <c r="D412" s="36" t="s">
        <v>211</v>
      </c>
      <c r="E412" s="37">
        <f t="shared" si="15"/>
        <v>0.21</v>
      </c>
      <c r="I412" s="36" t="s">
        <v>316</v>
      </c>
    </row>
    <row r="413" spans="1:9">
      <c r="A413" s="36" t="s">
        <v>117</v>
      </c>
      <c r="B413" s="36" t="s">
        <v>114</v>
      </c>
      <c r="C413" s="36">
        <v>0.36</v>
      </c>
      <c r="D413" s="36" t="s">
        <v>211</v>
      </c>
      <c r="E413" s="37">
        <f t="shared" si="15"/>
        <v>0.36</v>
      </c>
      <c r="I413" s="36" t="s">
        <v>316</v>
      </c>
    </row>
    <row r="414" spans="1:9">
      <c r="A414" s="36" t="s">
        <v>154</v>
      </c>
      <c r="B414" s="36" t="s">
        <v>114</v>
      </c>
      <c r="C414" s="36">
        <v>0.25</v>
      </c>
      <c r="D414" s="36" t="s">
        <v>211</v>
      </c>
      <c r="E414" s="37">
        <f t="shared" si="15"/>
        <v>0.25</v>
      </c>
      <c r="G414" s="37">
        <v>0.926317179453321</v>
      </c>
      <c r="I414" s="36" t="s">
        <v>317</v>
      </c>
    </row>
    <row r="415" spans="1:9">
      <c r="A415" s="36" t="s">
        <v>117</v>
      </c>
      <c r="B415" s="36" t="s">
        <v>114</v>
      </c>
      <c r="C415" s="36">
        <v>1.37</v>
      </c>
      <c r="D415" s="36" t="s">
        <v>211</v>
      </c>
      <c r="E415" s="37">
        <f t="shared" si="15"/>
        <v>1.37</v>
      </c>
      <c r="I415" s="36" t="s">
        <v>317</v>
      </c>
    </row>
    <row r="416" spans="1:9">
      <c r="A416" s="36" t="s">
        <v>112</v>
      </c>
      <c r="B416" s="36" t="s">
        <v>114</v>
      </c>
      <c r="C416" s="36">
        <v>2.69</v>
      </c>
      <c r="D416" s="36" t="s">
        <v>211</v>
      </c>
      <c r="E416" s="37">
        <f t="shared" si="15"/>
        <v>2.69</v>
      </c>
      <c r="I416" s="36" t="s">
        <v>317</v>
      </c>
    </row>
    <row r="417" spans="1:9">
      <c r="A417" s="36" t="s">
        <v>112</v>
      </c>
      <c r="B417" s="36" t="s">
        <v>110</v>
      </c>
      <c r="E417" s="37">
        <v>3.82364415151515</v>
      </c>
      <c r="H417" s="36" t="s">
        <v>214</v>
      </c>
      <c r="I417" s="36" t="s">
        <v>318</v>
      </c>
    </row>
    <row r="418" spans="1:9">
      <c r="A418" s="36" t="s">
        <v>112</v>
      </c>
      <c r="B418" s="36" t="s">
        <v>110</v>
      </c>
      <c r="E418" s="37">
        <v>6.93759471467306</v>
      </c>
      <c r="H418" s="36" t="s">
        <v>214</v>
      </c>
      <c r="I418" s="36" t="s">
        <v>318</v>
      </c>
    </row>
    <row r="419" spans="1:9">
      <c r="A419" s="36" t="s">
        <v>112</v>
      </c>
      <c r="B419" s="36" t="s">
        <v>110</v>
      </c>
      <c r="E419" s="37">
        <v>3.80557834830518</v>
      </c>
      <c r="H419" s="36" t="s">
        <v>214</v>
      </c>
      <c r="I419" s="36" t="s">
        <v>318</v>
      </c>
    </row>
    <row r="420" spans="1:9">
      <c r="A420" s="36" t="s">
        <v>112</v>
      </c>
      <c r="B420" s="36" t="s">
        <v>110</v>
      </c>
      <c r="E420" s="37">
        <v>2.74438325018001</v>
      </c>
      <c r="H420" s="36" t="s">
        <v>214</v>
      </c>
      <c r="I420" s="36" t="s">
        <v>318</v>
      </c>
    </row>
    <row r="421" spans="1:9">
      <c r="A421" s="36" t="s">
        <v>112</v>
      </c>
      <c r="B421" s="36" t="s">
        <v>110</v>
      </c>
      <c r="E421" s="37">
        <v>2.76111451073355</v>
      </c>
      <c r="H421" s="36" t="s">
        <v>214</v>
      </c>
      <c r="I421" s="36" t="s">
        <v>318</v>
      </c>
    </row>
    <row r="422" spans="1:9">
      <c r="A422" s="36" t="s">
        <v>112</v>
      </c>
      <c r="B422" s="36" t="s">
        <v>110</v>
      </c>
      <c r="E422" s="37">
        <v>4.20448161574975</v>
      </c>
      <c r="H422" s="36" t="s">
        <v>214</v>
      </c>
      <c r="I422" s="36" t="s">
        <v>318</v>
      </c>
    </row>
    <row r="423" spans="1:9">
      <c r="A423" s="36" t="s">
        <v>112</v>
      </c>
      <c r="B423" s="36" t="s">
        <v>110</v>
      </c>
      <c r="E423" s="37">
        <v>2.28483188793345</v>
      </c>
      <c r="H423" s="36" t="s">
        <v>214</v>
      </c>
      <c r="I423" s="36" t="s">
        <v>318</v>
      </c>
    </row>
    <row r="424" spans="1:9">
      <c r="A424" s="36" t="s">
        <v>112</v>
      </c>
      <c r="B424" s="36" t="s">
        <v>110</v>
      </c>
      <c r="E424" s="37">
        <v>5.69257905437179</v>
      </c>
      <c r="H424" s="36" t="s">
        <v>214</v>
      </c>
      <c r="I424" s="36" t="s">
        <v>318</v>
      </c>
    </row>
    <row r="425" spans="1:9">
      <c r="A425" s="36" t="s">
        <v>112</v>
      </c>
      <c r="B425" s="36" t="s">
        <v>110</v>
      </c>
      <c r="E425" s="37">
        <v>3.61342375202922</v>
      </c>
      <c r="H425" s="36" t="s">
        <v>214</v>
      </c>
      <c r="I425" s="36" t="s">
        <v>318</v>
      </c>
    </row>
    <row r="426" spans="1:9">
      <c r="A426" s="36" t="s">
        <v>112</v>
      </c>
      <c r="B426" s="36" t="s">
        <v>110</v>
      </c>
      <c r="E426" s="37">
        <v>2.94124489634153</v>
      </c>
      <c r="H426" s="36" t="s">
        <v>214</v>
      </c>
      <c r="I426" s="36" t="s">
        <v>318</v>
      </c>
    </row>
    <row r="427" spans="1:9">
      <c r="A427" s="36" t="s">
        <v>112</v>
      </c>
      <c r="B427" s="36" t="s">
        <v>110</v>
      </c>
      <c r="E427" s="37">
        <v>4.4350828954438</v>
      </c>
      <c r="H427" s="36" t="s">
        <v>214</v>
      </c>
      <c r="I427" s="36" t="s">
        <v>318</v>
      </c>
    </row>
    <row r="428" spans="1:9">
      <c r="A428" s="36" t="s">
        <v>112</v>
      </c>
      <c r="B428" s="36" t="s">
        <v>110</v>
      </c>
      <c r="E428" s="37">
        <v>3.05764278997374</v>
      </c>
      <c r="H428" s="36" t="s">
        <v>214</v>
      </c>
      <c r="I428" s="36" t="s">
        <v>318</v>
      </c>
    </row>
    <row r="429" spans="1:9">
      <c r="A429" s="36" t="s">
        <v>126</v>
      </c>
      <c r="B429" s="36" t="s">
        <v>114</v>
      </c>
      <c r="C429" s="36">
        <v>1.95</v>
      </c>
      <c r="D429" s="36" t="s">
        <v>211</v>
      </c>
      <c r="E429" s="37">
        <v>1.95</v>
      </c>
      <c r="I429" s="36" t="s">
        <v>319</v>
      </c>
    </row>
    <row r="430" spans="1:9">
      <c r="A430" s="36" t="s">
        <v>112</v>
      </c>
      <c r="B430" s="36" t="s">
        <v>114</v>
      </c>
      <c r="C430" s="36">
        <v>6.52</v>
      </c>
      <c r="D430" s="36" t="s">
        <v>211</v>
      </c>
      <c r="E430" s="37">
        <v>6.52</v>
      </c>
      <c r="I430" s="36" t="s">
        <v>319</v>
      </c>
    </row>
    <row r="431" spans="1:9">
      <c r="A431" s="36" t="s">
        <v>126</v>
      </c>
      <c r="B431" s="36" t="s">
        <v>114</v>
      </c>
      <c r="C431" s="36">
        <v>0.96</v>
      </c>
      <c r="D431" s="36" t="s">
        <v>211</v>
      </c>
      <c r="E431" s="37">
        <v>0.96</v>
      </c>
      <c r="I431" s="35" t="s">
        <v>320</v>
      </c>
    </row>
    <row r="432" spans="1:9">
      <c r="A432" s="36" t="s">
        <v>117</v>
      </c>
      <c r="B432" s="36" t="s">
        <v>114</v>
      </c>
      <c r="C432" s="36">
        <v>1.3</v>
      </c>
      <c r="D432" s="36" t="s">
        <v>211</v>
      </c>
      <c r="E432" s="37">
        <v>1.3</v>
      </c>
      <c r="I432" s="35" t="s">
        <v>320</v>
      </c>
    </row>
    <row r="433" spans="1:9">
      <c r="A433" s="36" t="s">
        <v>154</v>
      </c>
      <c r="B433" s="36" t="s">
        <v>114</v>
      </c>
      <c r="C433" s="36">
        <v>0.34</v>
      </c>
      <c r="D433" s="36" t="s">
        <v>211</v>
      </c>
      <c r="E433" s="37">
        <v>0.34</v>
      </c>
      <c r="I433" s="35" t="s">
        <v>320</v>
      </c>
    </row>
    <row r="434" spans="1:9">
      <c r="A434" s="36" t="s">
        <v>112</v>
      </c>
      <c r="B434" s="36" t="s">
        <v>114</v>
      </c>
      <c r="C434" s="36">
        <v>3.65</v>
      </c>
      <c r="D434" s="36" t="s">
        <v>211</v>
      </c>
      <c r="E434" s="37">
        <v>3.65</v>
      </c>
      <c r="I434" s="35" t="s">
        <v>320</v>
      </c>
    </row>
    <row r="435" spans="1:9">
      <c r="A435" s="36" t="s">
        <v>137</v>
      </c>
      <c r="B435" s="36" t="s">
        <v>110</v>
      </c>
      <c r="C435" s="36">
        <v>0.12</v>
      </c>
      <c r="D435" s="36" t="s">
        <v>211</v>
      </c>
      <c r="E435" s="37">
        <v>0.12</v>
      </c>
      <c r="I435" s="45" t="s">
        <v>321</v>
      </c>
    </row>
    <row r="436" spans="1:9">
      <c r="A436" s="36" t="s">
        <v>137</v>
      </c>
      <c r="B436" s="36" t="s">
        <v>110</v>
      </c>
      <c r="C436" s="36">
        <v>3.29</v>
      </c>
      <c r="D436" s="36" t="s">
        <v>322</v>
      </c>
      <c r="E436" s="37">
        <f t="shared" ref="E436:E441" si="16">C436*28/44*0.7</f>
        <v>1.46554545454545</v>
      </c>
      <c r="I436" s="36" t="s">
        <v>323</v>
      </c>
    </row>
    <row r="437" spans="1:9">
      <c r="A437" s="36" t="s">
        <v>137</v>
      </c>
      <c r="B437" s="36" t="s">
        <v>110</v>
      </c>
      <c r="C437" s="36">
        <v>1.655</v>
      </c>
      <c r="D437" s="36" t="s">
        <v>322</v>
      </c>
      <c r="E437" s="37">
        <f t="shared" si="16"/>
        <v>0.737227272727273</v>
      </c>
      <c r="I437" s="36" t="s">
        <v>323</v>
      </c>
    </row>
    <row r="438" spans="1:9">
      <c r="A438" s="36" t="s">
        <v>137</v>
      </c>
      <c r="B438" s="36" t="s">
        <v>110</v>
      </c>
      <c r="C438" s="36">
        <v>0.96</v>
      </c>
      <c r="D438" s="36" t="s">
        <v>322</v>
      </c>
      <c r="E438" s="37">
        <f t="shared" si="16"/>
        <v>0.427636363636364</v>
      </c>
      <c r="I438" s="36" t="s">
        <v>323</v>
      </c>
    </row>
    <row r="439" spans="1:9">
      <c r="A439" s="36" t="s">
        <v>112</v>
      </c>
      <c r="B439" s="36" t="s">
        <v>110</v>
      </c>
      <c r="C439" s="36">
        <v>1.74</v>
      </c>
      <c r="D439" s="36" t="s">
        <v>322</v>
      </c>
      <c r="E439" s="37">
        <f t="shared" si="16"/>
        <v>0.775090909090909</v>
      </c>
      <c r="I439" s="36" t="s">
        <v>323</v>
      </c>
    </row>
    <row r="440" spans="1:9">
      <c r="A440" s="36" t="s">
        <v>112</v>
      </c>
      <c r="B440" s="36" t="s">
        <v>110</v>
      </c>
      <c r="C440" s="36">
        <v>1.47</v>
      </c>
      <c r="D440" s="36" t="s">
        <v>322</v>
      </c>
      <c r="E440" s="37">
        <f t="shared" si="16"/>
        <v>0.654818181818182</v>
      </c>
      <c r="I440" s="36" t="s">
        <v>323</v>
      </c>
    </row>
    <row r="441" spans="1:9">
      <c r="A441" s="36" t="s">
        <v>112</v>
      </c>
      <c r="B441" s="36" t="s">
        <v>110</v>
      </c>
      <c r="C441" s="36">
        <v>0.75</v>
      </c>
      <c r="D441" s="36" t="s">
        <v>322</v>
      </c>
      <c r="E441" s="37">
        <f t="shared" si="16"/>
        <v>0.334090909090909</v>
      </c>
      <c r="I441" s="36" t="s">
        <v>323</v>
      </c>
    </row>
    <row r="442" spans="1:9">
      <c r="A442" s="36" t="s">
        <v>136</v>
      </c>
      <c r="B442" s="36" t="s">
        <v>110</v>
      </c>
      <c r="C442" s="36">
        <v>0.38</v>
      </c>
      <c r="D442" s="36" t="s">
        <v>217</v>
      </c>
      <c r="E442" s="37">
        <f>C442*F442</f>
        <v>0.23427</v>
      </c>
      <c r="F442" s="37">
        <v>0.6165</v>
      </c>
      <c r="I442" s="36" t="s">
        <v>324</v>
      </c>
    </row>
    <row r="443" spans="1:9">
      <c r="A443" s="36" t="s">
        <v>184</v>
      </c>
      <c r="B443" s="36" t="s">
        <v>110</v>
      </c>
      <c r="C443" s="36">
        <v>1.2</v>
      </c>
      <c r="D443" s="36" t="s">
        <v>217</v>
      </c>
      <c r="E443" s="37">
        <f>C443*F443</f>
        <v>0.997714285714285</v>
      </c>
      <c r="F443" s="37">
        <v>0.831428571428571</v>
      </c>
      <c r="I443" s="36" t="s">
        <v>324</v>
      </c>
    </row>
    <row r="444" spans="1:9">
      <c r="A444" s="36" t="s">
        <v>126</v>
      </c>
      <c r="B444" s="36" t="s">
        <v>110</v>
      </c>
      <c r="E444" s="37">
        <v>0.00363671795767988</v>
      </c>
      <c r="H444" s="36" t="s">
        <v>214</v>
      </c>
      <c r="I444" s="35" t="s">
        <v>197</v>
      </c>
    </row>
    <row r="445" spans="1:9">
      <c r="A445" s="36" t="s">
        <v>126</v>
      </c>
      <c r="B445" s="36" t="s">
        <v>110</v>
      </c>
      <c r="C445" s="36">
        <v>0.11</v>
      </c>
      <c r="D445" s="36" t="s">
        <v>240</v>
      </c>
      <c r="E445" s="37">
        <f>C445*28/44*0.8</f>
        <v>0.056</v>
      </c>
      <c r="I445" s="36" t="s">
        <v>325</v>
      </c>
    </row>
    <row r="446" spans="1:9">
      <c r="A446" s="36" t="s">
        <v>117</v>
      </c>
      <c r="B446" s="36" t="s">
        <v>110</v>
      </c>
      <c r="C446" s="36">
        <v>0.16</v>
      </c>
      <c r="D446" s="36" t="s">
        <v>240</v>
      </c>
      <c r="E446" s="37">
        <f>C446*28/44*0.8</f>
        <v>0.0814545454545455</v>
      </c>
      <c r="I446" s="36" t="s">
        <v>325</v>
      </c>
    </row>
    <row r="447" spans="1:9">
      <c r="A447" s="36" t="s">
        <v>117</v>
      </c>
      <c r="B447" s="36" t="s">
        <v>110</v>
      </c>
      <c r="C447" s="36">
        <v>0.05</v>
      </c>
      <c r="D447" s="36" t="s">
        <v>240</v>
      </c>
      <c r="E447" s="37">
        <f>C447*28/44*0.8</f>
        <v>0.0254545454545455</v>
      </c>
      <c r="I447" s="36" t="s">
        <v>325</v>
      </c>
    </row>
    <row r="448" spans="1:9">
      <c r="A448" s="36" t="s">
        <v>117</v>
      </c>
      <c r="B448" s="36" t="s">
        <v>110</v>
      </c>
      <c r="C448" s="36">
        <v>0.03</v>
      </c>
      <c r="D448" s="36" t="s">
        <v>240</v>
      </c>
      <c r="E448" s="37">
        <f>C448*28/44*0.8</f>
        <v>0.0152727272727273</v>
      </c>
      <c r="I448" s="36" t="s">
        <v>325</v>
      </c>
    </row>
    <row r="449" spans="1:9">
      <c r="A449" s="36" t="s">
        <v>137</v>
      </c>
      <c r="B449" s="36" t="s">
        <v>110</v>
      </c>
      <c r="C449" s="36">
        <v>0.04</v>
      </c>
      <c r="D449" s="36" t="s">
        <v>240</v>
      </c>
      <c r="E449" s="37">
        <f>C449*28/44*0.8</f>
        <v>0.0203636363636364</v>
      </c>
      <c r="I449" s="36" t="s">
        <v>325</v>
      </c>
    </row>
    <row r="450" spans="1:9">
      <c r="A450" s="36" t="s">
        <v>108</v>
      </c>
      <c r="B450" s="36" t="s">
        <v>110</v>
      </c>
      <c r="C450" s="36">
        <v>1.02</v>
      </c>
      <c r="D450" s="36" t="s">
        <v>240</v>
      </c>
      <c r="E450" s="37">
        <f>C450*28/44*0.4</f>
        <v>0.259636363636364</v>
      </c>
      <c r="I450" s="36" t="s">
        <v>325</v>
      </c>
    </row>
    <row r="451" spans="1:9">
      <c r="A451" s="36" t="s">
        <v>108</v>
      </c>
      <c r="B451" s="36" t="s">
        <v>110</v>
      </c>
      <c r="C451" s="36">
        <v>0.71</v>
      </c>
      <c r="D451" s="36" t="s">
        <v>240</v>
      </c>
      <c r="E451" s="37">
        <f>C451*28/44*0.4</f>
        <v>0.180727272727273</v>
      </c>
      <c r="I451" s="36" t="s">
        <v>325</v>
      </c>
    </row>
    <row r="452" spans="1:9">
      <c r="A452" s="36" t="s">
        <v>108</v>
      </c>
      <c r="B452" s="36" t="s">
        <v>110</v>
      </c>
      <c r="C452" s="36">
        <v>0.17</v>
      </c>
      <c r="D452" s="36" t="s">
        <v>240</v>
      </c>
      <c r="E452" s="37">
        <f>C452*28/44*0.4</f>
        <v>0.0432727272727273</v>
      </c>
      <c r="I452" s="36" t="s">
        <v>325</v>
      </c>
    </row>
    <row r="453" spans="1:9">
      <c r="A453" s="36" t="s">
        <v>108</v>
      </c>
      <c r="B453" s="36" t="s">
        <v>110</v>
      </c>
      <c r="C453" s="36">
        <v>0.11</v>
      </c>
      <c r="D453" s="36" t="s">
        <v>240</v>
      </c>
      <c r="E453" s="37">
        <f>C453*28/44*0.4</f>
        <v>0.028</v>
      </c>
      <c r="I453" s="36" t="s">
        <v>325</v>
      </c>
    </row>
    <row r="454" spans="1:9">
      <c r="A454" s="36" t="s">
        <v>108</v>
      </c>
      <c r="B454" s="36" t="s">
        <v>110</v>
      </c>
      <c r="C454" s="36">
        <v>0.05</v>
      </c>
      <c r="D454" s="36" t="s">
        <v>240</v>
      </c>
      <c r="E454" s="37">
        <f>C454*28/44*0.4</f>
        <v>0.0127272727272727</v>
      </c>
      <c r="I454" s="36" t="s">
        <v>325</v>
      </c>
    </row>
    <row r="455" spans="1:9">
      <c r="A455" s="42" t="s">
        <v>139</v>
      </c>
      <c r="B455" s="36" t="s">
        <v>110</v>
      </c>
      <c r="C455" s="36">
        <v>0.1</v>
      </c>
      <c r="D455" s="36" t="s">
        <v>240</v>
      </c>
      <c r="E455" s="37">
        <f t="shared" ref="E455:E460" si="17">C455*28/44*0.8</f>
        <v>0.0509090909090909</v>
      </c>
      <c r="I455" s="36" t="s">
        <v>325</v>
      </c>
    </row>
    <row r="456" spans="1:9">
      <c r="A456" s="42" t="s">
        <v>139</v>
      </c>
      <c r="B456" s="36" t="s">
        <v>110</v>
      </c>
      <c r="C456" s="36">
        <v>0.07</v>
      </c>
      <c r="D456" s="36" t="s">
        <v>240</v>
      </c>
      <c r="E456" s="37">
        <f t="shared" si="17"/>
        <v>0.0356363636363636</v>
      </c>
      <c r="I456" s="36" t="s">
        <v>325</v>
      </c>
    </row>
    <row r="457" spans="1:9">
      <c r="A457" s="42" t="s">
        <v>139</v>
      </c>
      <c r="B457" s="36" t="s">
        <v>110</v>
      </c>
      <c r="C457" s="36">
        <v>0.05</v>
      </c>
      <c r="D457" s="36" t="s">
        <v>240</v>
      </c>
      <c r="E457" s="37">
        <f t="shared" si="17"/>
        <v>0.0254545454545455</v>
      </c>
      <c r="I457" s="36" t="s">
        <v>325</v>
      </c>
    </row>
    <row r="458" spans="1:9">
      <c r="A458" s="42" t="s">
        <v>139</v>
      </c>
      <c r="B458" s="36" t="s">
        <v>110</v>
      </c>
      <c r="C458" s="36">
        <v>0.03</v>
      </c>
      <c r="D458" s="36" t="s">
        <v>240</v>
      </c>
      <c r="E458" s="37">
        <f t="shared" si="17"/>
        <v>0.0152727272727273</v>
      </c>
      <c r="I458" s="36" t="s">
        <v>325</v>
      </c>
    </row>
    <row r="459" spans="1:9">
      <c r="A459" s="42" t="s">
        <v>139</v>
      </c>
      <c r="B459" s="36" t="s">
        <v>110</v>
      </c>
      <c r="C459" s="36">
        <v>0.03</v>
      </c>
      <c r="D459" s="36" t="s">
        <v>240</v>
      </c>
      <c r="E459" s="37">
        <f t="shared" si="17"/>
        <v>0.0152727272727273</v>
      </c>
      <c r="I459" s="36" t="s">
        <v>325</v>
      </c>
    </row>
    <row r="460" spans="1:9">
      <c r="A460" s="42" t="s">
        <v>139</v>
      </c>
      <c r="B460" s="36" t="s">
        <v>110</v>
      </c>
      <c r="C460" s="36">
        <v>0.02</v>
      </c>
      <c r="D460" s="36" t="s">
        <v>240</v>
      </c>
      <c r="E460" s="37">
        <f t="shared" si="17"/>
        <v>0.0101818181818182</v>
      </c>
      <c r="I460" s="36" t="s">
        <v>325</v>
      </c>
    </row>
    <row r="461" spans="1:9">
      <c r="A461" s="36" t="s">
        <v>263</v>
      </c>
      <c r="B461" s="36" t="s">
        <v>114</v>
      </c>
      <c r="E461" s="37">
        <v>0.116447773781471</v>
      </c>
      <c r="H461" s="36" t="s">
        <v>214</v>
      </c>
      <c r="I461" s="36" t="s">
        <v>326</v>
      </c>
    </row>
    <row r="462" spans="1:9">
      <c r="A462" s="36" t="s">
        <v>263</v>
      </c>
      <c r="B462" s="36" t="s">
        <v>114</v>
      </c>
      <c r="E462" s="37">
        <v>0.106590995907231</v>
      </c>
      <c r="H462" s="36" t="s">
        <v>214</v>
      </c>
      <c r="I462" s="36" t="s">
        <v>326</v>
      </c>
    </row>
    <row r="463" spans="1:9">
      <c r="A463" s="36" t="s">
        <v>184</v>
      </c>
      <c r="B463" s="36" t="s">
        <v>110</v>
      </c>
      <c r="C463" s="36">
        <v>0.008</v>
      </c>
      <c r="D463" s="36" t="s">
        <v>238</v>
      </c>
      <c r="E463" s="37">
        <v>0.008</v>
      </c>
      <c r="G463" s="37">
        <v>0.888968956953642</v>
      </c>
      <c r="H463" s="36" t="s">
        <v>214</v>
      </c>
      <c r="I463" s="36" t="s">
        <v>198</v>
      </c>
    </row>
    <row r="464" spans="1:9">
      <c r="A464" s="36" t="s">
        <v>108</v>
      </c>
      <c r="B464" s="36" t="s">
        <v>110</v>
      </c>
      <c r="C464" s="36">
        <v>0.001</v>
      </c>
      <c r="D464" s="36" t="s">
        <v>238</v>
      </c>
      <c r="E464" s="37">
        <v>0.001</v>
      </c>
      <c r="G464" s="37">
        <v>0.977190463215259</v>
      </c>
      <c r="H464" s="36" t="s">
        <v>214</v>
      </c>
      <c r="I464" s="36" t="s">
        <v>198</v>
      </c>
    </row>
    <row r="465" spans="1:9">
      <c r="A465" s="36" t="s">
        <v>126</v>
      </c>
      <c r="B465" s="36" t="s">
        <v>110</v>
      </c>
      <c r="C465" s="36">
        <v>0.03</v>
      </c>
      <c r="D465" s="36" t="s">
        <v>327</v>
      </c>
      <c r="E465" s="37">
        <f>C465*0.8*(34.6/(34.6+0.3+1.4))</f>
        <v>0.0228760330578512</v>
      </c>
      <c r="I465" s="36" t="s">
        <v>328</v>
      </c>
    </row>
    <row r="466" spans="1:9">
      <c r="A466" s="36" t="s">
        <v>126</v>
      </c>
      <c r="B466" s="36" t="s">
        <v>110</v>
      </c>
      <c r="C466" s="36">
        <v>0.04</v>
      </c>
      <c r="D466" s="36" t="s">
        <v>327</v>
      </c>
      <c r="E466" s="37">
        <f>C466*0.8*(29/(29+0.1+0.7))</f>
        <v>0.0311409395973154</v>
      </c>
      <c r="I466" s="36" t="s">
        <v>328</v>
      </c>
    </row>
    <row r="467" spans="1:9">
      <c r="A467" s="36" t="s">
        <v>126</v>
      </c>
      <c r="B467" s="36" t="s">
        <v>110</v>
      </c>
      <c r="C467" s="36">
        <v>0.14</v>
      </c>
      <c r="D467" s="36" t="s">
        <v>327</v>
      </c>
      <c r="E467" s="37">
        <f>C467*0.8*(26.5/(26.5+0.6+0.1))</f>
        <v>0.109117647058824</v>
      </c>
      <c r="I467" s="36" t="s">
        <v>328</v>
      </c>
    </row>
    <row r="468" spans="1:9">
      <c r="A468" s="36" t="s">
        <v>117</v>
      </c>
      <c r="B468" s="36" t="s">
        <v>110</v>
      </c>
      <c r="C468" s="36">
        <v>0.99</v>
      </c>
      <c r="D468" s="36" t="s">
        <v>238</v>
      </c>
      <c r="E468" s="37">
        <v>0.99</v>
      </c>
      <c r="I468" s="36" t="s">
        <v>329</v>
      </c>
    </row>
    <row r="469" spans="1:9">
      <c r="A469" s="36" t="s">
        <v>117</v>
      </c>
      <c r="B469" s="36" t="s">
        <v>110</v>
      </c>
      <c r="C469" s="36">
        <v>0.05</v>
      </c>
      <c r="D469" s="36" t="s">
        <v>238</v>
      </c>
      <c r="E469" s="37">
        <v>0.05</v>
      </c>
      <c r="I469" s="36" t="s">
        <v>329</v>
      </c>
    </row>
    <row r="470" spans="1:9">
      <c r="A470" s="36" t="s">
        <v>117</v>
      </c>
      <c r="B470" s="36" t="s">
        <v>110</v>
      </c>
      <c r="C470" s="36">
        <v>1.52</v>
      </c>
      <c r="D470" s="36" t="s">
        <v>238</v>
      </c>
      <c r="E470" s="37">
        <v>1.52</v>
      </c>
      <c r="I470" s="36" t="s">
        <v>329</v>
      </c>
    </row>
    <row r="471" spans="1:9">
      <c r="A471" s="36" t="s">
        <v>117</v>
      </c>
      <c r="B471" s="36" t="s">
        <v>110</v>
      </c>
      <c r="C471" s="36">
        <v>1.23</v>
      </c>
      <c r="D471" s="36" t="s">
        <v>238</v>
      </c>
      <c r="E471" s="37">
        <v>1.23</v>
      </c>
      <c r="I471" s="36" t="s">
        <v>329</v>
      </c>
    </row>
    <row r="472" spans="1:9">
      <c r="A472" s="36" t="s">
        <v>117</v>
      </c>
      <c r="B472" s="36" t="s">
        <v>110</v>
      </c>
      <c r="C472" s="36">
        <v>1.03</v>
      </c>
      <c r="D472" s="36" t="s">
        <v>238</v>
      </c>
      <c r="E472" s="37">
        <v>1.03</v>
      </c>
      <c r="I472" s="36" t="s">
        <v>329</v>
      </c>
    </row>
    <row r="473" spans="1:9">
      <c r="A473" s="36" t="s">
        <v>117</v>
      </c>
      <c r="B473" s="36" t="s">
        <v>110</v>
      </c>
      <c r="C473" s="36">
        <v>0.88</v>
      </c>
      <c r="D473" s="36" t="s">
        <v>238</v>
      </c>
      <c r="E473" s="37">
        <v>0.88</v>
      </c>
      <c r="I473" s="36" t="s">
        <v>329</v>
      </c>
    </row>
    <row r="474" spans="1:9">
      <c r="A474" s="36" t="s">
        <v>117</v>
      </c>
      <c r="B474" s="36" t="s">
        <v>110</v>
      </c>
      <c r="C474" s="36">
        <v>0.85</v>
      </c>
      <c r="D474" s="36" t="s">
        <v>238</v>
      </c>
      <c r="E474" s="37">
        <v>0.85</v>
      </c>
      <c r="I474" s="36" t="s">
        <v>329</v>
      </c>
    </row>
    <row r="475" spans="1:9">
      <c r="A475" s="36" t="s">
        <v>126</v>
      </c>
      <c r="B475" s="36" t="s">
        <v>110</v>
      </c>
      <c r="C475" s="36">
        <v>1.32</v>
      </c>
      <c r="D475" s="36" t="s">
        <v>238</v>
      </c>
      <c r="E475" s="37">
        <v>1.32</v>
      </c>
      <c r="I475" s="36" t="s">
        <v>329</v>
      </c>
    </row>
    <row r="476" spans="1:9">
      <c r="A476" s="36" t="s">
        <v>126</v>
      </c>
      <c r="B476" s="36" t="s">
        <v>110</v>
      </c>
      <c r="C476" s="36">
        <v>0.8</v>
      </c>
      <c r="D476" s="36" t="s">
        <v>238</v>
      </c>
      <c r="E476" s="37">
        <v>0.8</v>
      </c>
      <c r="I476" s="36" t="s">
        <v>329</v>
      </c>
    </row>
    <row r="477" spans="1:9">
      <c r="A477" s="36" t="s">
        <v>126</v>
      </c>
      <c r="B477" s="36" t="s">
        <v>110</v>
      </c>
      <c r="C477" s="36">
        <v>0.005</v>
      </c>
      <c r="D477" s="36" t="s">
        <v>238</v>
      </c>
      <c r="E477" s="37">
        <v>0.005</v>
      </c>
      <c r="I477" s="36" t="s">
        <v>329</v>
      </c>
    </row>
    <row r="478" spans="1:9">
      <c r="A478" s="36" t="s">
        <v>126</v>
      </c>
      <c r="B478" s="36" t="s">
        <v>110</v>
      </c>
      <c r="C478" s="36">
        <v>0.005</v>
      </c>
      <c r="D478" s="36" t="s">
        <v>238</v>
      </c>
      <c r="E478" s="37">
        <v>0.005</v>
      </c>
      <c r="I478" s="36" t="s">
        <v>329</v>
      </c>
    </row>
    <row r="479" spans="1:9">
      <c r="A479" s="36" t="s">
        <v>126</v>
      </c>
      <c r="B479" s="36" t="s">
        <v>110</v>
      </c>
      <c r="C479" s="36">
        <v>0.012</v>
      </c>
      <c r="D479" s="36" t="s">
        <v>238</v>
      </c>
      <c r="E479" s="37">
        <v>0.012</v>
      </c>
      <c r="I479" s="36" t="s">
        <v>329</v>
      </c>
    </row>
    <row r="480" spans="1:9">
      <c r="A480" s="36" t="s">
        <v>126</v>
      </c>
      <c r="B480" s="36" t="s">
        <v>110</v>
      </c>
      <c r="C480" s="36">
        <v>0.012</v>
      </c>
      <c r="D480" s="36" t="s">
        <v>238</v>
      </c>
      <c r="E480" s="37">
        <v>0.012</v>
      </c>
      <c r="I480" s="36" t="s">
        <v>329</v>
      </c>
    </row>
    <row r="481" spans="1:9">
      <c r="A481" s="36" t="s">
        <v>126</v>
      </c>
      <c r="B481" s="36" t="s">
        <v>110</v>
      </c>
      <c r="C481" s="36">
        <v>0.19</v>
      </c>
      <c r="D481" s="36" t="s">
        <v>238</v>
      </c>
      <c r="E481" s="37">
        <v>0.19</v>
      </c>
      <c r="I481" s="36" t="s">
        <v>329</v>
      </c>
    </row>
    <row r="482" spans="1:9">
      <c r="A482" s="36" t="s">
        <v>126</v>
      </c>
      <c r="B482" s="36" t="s">
        <v>110</v>
      </c>
      <c r="C482" s="36">
        <v>0.006</v>
      </c>
      <c r="D482" s="36" t="s">
        <v>238</v>
      </c>
      <c r="E482" s="37">
        <v>0.006</v>
      </c>
      <c r="I482" s="36" t="s">
        <v>329</v>
      </c>
    </row>
    <row r="483" spans="1:9">
      <c r="A483" s="36" t="s">
        <v>112</v>
      </c>
      <c r="B483" s="36" t="s">
        <v>110</v>
      </c>
      <c r="C483" s="36">
        <v>0.35</v>
      </c>
      <c r="D483" s="36" t="s">
        <v>238</v>
      </c>
      <c r="E483" s="37">
        <v>0.35</v>
      </c>
      <c r="I483" s="36" t="s">
        <v>329</v>
      </c>
    </row>
    <row r="484" spans="1:9">
      <c r="A484" s="36" t="s">
        <v>112</v>
      </c>
      <c r="B484" s="36" t="s">
        <v>110</v>
      </c>
      <c r="C484" s="36">
        <v>0.35</v>
      </c>
      <c r="D484" s="36" t="s">
        <v>238</v>
      </c>
      <c r="E484" s="37">
        <v>0.35</v>
      </c>
      <c r="I484" s="36" t="s">
        <v>329</v>
      </c>
    </row>
    <row r="485" spans="1:9">
      <c r="A485" s="36" t="s">
        <v>112</v>
      </c>
      <c r="B485" s="36" t="s">
        <v>110</v>
      </c>
      <c r="C485" s="36">
        <v>0.24</v>
      </c>
      <c r="D485" s="36" t="s">
        <v>238</v>
      </c>
      <c r="E485" s="37">
        <v>0.24</v>
      </c>
      <c r="I485" s="36" t="s">
        <v>329</v>
      </c>
    </row>
    <row r="486" spans="1:9">
      <c r="A486" s="36" t="s">
        <v>112</v>
      </c>
      <c r="B486" s="36" t="s">
        <v>110</v>
      </c>
      <c r="C486" s="36">
        <v>0.13</v>
      </c>
      <c r="D486" s="36" t="s">
        <v>238</v>
      </c>
      <c r="E486" s="37">
        <v>0.13</v>
      </c>
      <c r="I486" s="36" t="s">
        <v>329</v>
      </c>
    </row>
    <row r="487" spans="1:9">
      <c r="A487" s="36" t="s">
        <v>112</v>
      </c>
      <c r="B487" s="36" t="s">
        <v>110</v>
      </c>
      <c r="C487" s="36">
        <v>0.07</v>
      </c>
      <c r="D487" s="36" t="s">
        <v>238</v>
      </c>
      <c r="E487" s="37">
        <v>0.07</v>
      </c>
      <c r="I487" s="36" t="s">
        <v>329</v>
      </c>
    </row>
    <row r="488" spans="1:9">
      <c r="A488" s="36" t="s">
        <v>112</v>
      </c>
      <c r="B488" s="36" t="s">
        <v>110</v>
      </c>
      <c r="C488" s="36">
        <v>6.8</v>
      </c>
      <c r="D488" s="36" t="s">
        <v>238</v>
      </c>
      <c r="E488" s="37">
        <v>6.8</v>
      </c>
      <c r="I488" s="36" t="s">
        <v>330</v>
      </c>
    </row>
    <row r="489" spans="1:9">
      <c r="A489" s="36" t="s">
        <v>112</v>
      </c>
      <c r="B489" s="36" t="s">
        <v>110</v>
      </c>
      <c r="C489" s="36">
        <v>5</v>
      </c>
      <c r="D489" s="36" t="s">
        <v>238</v>
      </c>
      <c r="E489" s="37">
        <v>5</v>
      </c>
      <c r="I489" s="36" t="s">
        <v>330</v>
      </c>
    </row>
    <row r="490" spans="1:9">
      <c r="A490" s="36" t="s">
        <v>112</v>
      </c>
      <c r="B490" s="36" t="s">
        <v>110</v>
      </c>
      <c r="C490" s="36">
        <v>4.3</v>
      </c>
      <c r="D490" s="36" t="s">
        <v>238</v>
      </c>
      <c r="E490" s="37">
        <v>4.3</v>
      </c>
      <c r="I490" s="36" t="s">
        <v>330</v>
      </c>
    </row>
    <row r="491" spans="1:9">
      <c r="A491" s="36" t="s">
        <v>112</v>
      </c>
      <c r="B491" s="36" t="s">
        <v>110</v>
      </c>
      <c r="C491" s="36">
        <v>3.7</v>
      </c>
      <c r="D491" s="36" t="s">
        <v>238</v>
      </c>
      <c r="E491" s="37">
        <v>3.7</v>
      </c>
      <c r="I491" s="36" t="s">
        <v>330</v>
      </c>
    </row>
    <row r="492" spans="1:9">
      <c r="A492" s="36" t="s">
        <v>112</v>
      </c>
      <c r="B492" s="36" t="s">
        <v>110</v>
      </c>
      <c r="C492" s="36">
        <v>3</v>
      </c>
      <c r="D492" s="36" t="s">
        <v>238</v>
      </c>
      <c r="E492" s="37">
        <v>3</v>
      </c>
      <c r="I492" s="36" t="s">
        <v>330</v>
      </c>
    </row>
    <row r="493" spans="1:9">
      <c r="A493" s="36" t="s">
        <v>112</v>
      </c>
      <c r="B493" s="36" t="s">
        <v>110</v>
      </c>
      <c r="C493" s="36">
        <v>2.3</v>
      </c>
      <c r="D493" s="36" t="s">
        <v>238</v>
      </c>
      <c r="E493" s="37">
        <v>2.3</v>
      </c>
      <c r="I493" s="36" t="s">
        <v>330</v>
      </c>
    </row>
    <row r="494" spans="1:9">
      <c r="A494" s="36" t="s">
        <v>137</v>
      </c>
      <c r="B494" s="36" t="s">
        <v>110</v>
      </c>
      <c r="E494" s="37">
        <v>0.59184766</v>
      </c>
      <c r="H494" s="36" t="s">
        <v>214</v>
      </c>
      <c r="I494" s="36" t="s">
        <v>331</v>
      </c>
    </row>
    <row r="495" spans="1:9">
      <c r="A495" s="36" t="s">
        <v>137</v>
      </c>
      <c r="B495" s="36" t="s">
        <v>110</v>
      </c>
      <c r="E495" s="37">
        <v>0.43858612</v>
      </c>
      <c r="H495" s="36" t="s">
        <v>214</v>
      </c>
      <c r="I495" s="36" t="s">
        <v>331</v>
      </c>
    </row>
    <row r="496" spans="1:9">
      <c r="A496" s="36" t="s">
        <v>137</v>
      </c>
      <c r="B496" s="36" t="s">
        <v>110</v>
      </c>
      <c r="E496" s="37">
        <v>0.4157618</v>
      </c>
      <c r="H496" s="36" t="s">
        <v>214</v>
      </c>
      <c r="I496" s="36" t="s">
        <v>331</v>
      </c>
    </row>
    <row r="497" spans="1:9">
      <c r="A497" s="36" t="s">
        <v>137</v>
      </c>
      <c r="B497" s="36" t="s">
        <v>110</v>
      </c>
      <c r="E497" s="37">
        <v>0.26250026</v>
      </c>
      <c r="H497" s="36" t="s">
        <v>214</v>
      </c>
      <c r="I497" s="36" t="s">
        <v>331</v>
      </c>
    </row>
    <row r="498" spans="1:9">
      <c r="A498" s="36" t="s">
        <v>137</v>
      </c>
      <c r="B498" s="36" t="s">
        <v>110</v>
      </c>
      <c r="E498" s="37">
        <v>0.24665973</v>
      </c>
      <c r="H498" s="36" t="s">
        <v>214</v>
      </c>
      <c r="I498" s="36" t="s">
        <v>331</v>
      </c>
    </row>
    <row r="499" spans="1:9">
      <c r="A499" s="36" t="s">
        <v>137</v>
      </c>
      <c r="B499" s="36" t="s">
        <v>110</v>
      </c>
      <c r="E499" s="37">
        <v>0.21731575</v>
      </c>
      <c r="H499" s="36" t="s">
        <v>214</v>
      </c>
      <c r="I499" s="36" t="s">
        <v>331</v>
      </c>
    </row>
    <row r="500" spans="1:9">
      <c r="A500" s="36" t="s">
        <v>137</v>
      </c>
      <c r="B500" s="36" t="s">
        <v>110</v>
      </c>
      <c r="E500" s="37">
        <v>0.16421096</v>
      </c>
      <c r="H500" s="36" t="s">
        <v>214</v>
      </c>
      <c r="I500" s="36" t="s">
        <v>331</v>
      </c>
    </row>
    <row r="501" spans="1:9">
      <c r="A501" s="36" t="s">
        <v>137</v>
      </c>
      <c r="B501" s="36" t="s">
        <v>110</v>
      </c>
      <c r="E501" s="37">
        <v>0.14883454</v>
      </c>
      <c r="H501" s="36" t="s">
        <v>214</v>
      </c>
      <c r="I501" s="36" t="s">
        <v>331</v>
      </c>
    </row>
    <row r="502" spans="1:9">
      <c r="A502" s="36" t="s">
        <v>108</v>
      </c>
      <c r="B502" s="36" t="s">
        <v>110</v>
      </c>
      <c r="C502" s="36">
        <v>0.048</v>
      </c>
      <c r="D502" s="36" t="s">
        <v>211</v>
      </c>
      <c r="E502" s="37">
        <v>0.048</v>
      </c>
      <c r="I502" s="36" t="s">
        <v>200</v>
      </c>
    </row>
    <row r="503" spans="1:9">
      <c r="A503" s="36" t="s">
        <v>137</v>
      </c>
      <c r="B503" s="36" t="s">
        <v>110</v>
      </c>
      <c r="C503" s="36">
        <v>0.42</v>
      </c>
      <c r="D503" s="36" t="s">
        <v>211</v>
      </c>
      <c r="E503" s="37">
        <v>0.42</v>
      </c>
      <c r="I503" s="36" t="s">
        <v>200</v>
      </c>
    </row>
    <row r="504" spans="1:9">
      <c r="A504" s="36" t="s">
        <v>137</v>
      </c>
      <c r="B504" s="36" t="s">
        <v>110</v>
      </c>
      <c r="C504" s="36">
        <v>6.1</v>
      </c>
      <c r="D504" s="36" t="s">
        <v>211</v>
      </c>
      <c r="E504" s="37">
        <v>6.1</v>
      </c>
      <c r="I504" s="36" t="s">
        <v>200</v>
      </c>
    </row>
    <row r="505" spans="1:9">
      <c r="A505" s="36" t="s">
        <v>137</v>
      </c>
      <c r="B505" s="36" t="s">
        <v>110</v>
      </c>
      <c r="C505" s="36">
        <v>0.04</v>
      </c>
      <c r="D505" s="36" t="s">
        <v>211</v>
      </c>
      <c r="E505" s="37">
        <v>0.04</v>
      </c>
      <c r="I505" s="36" t="s">
        <v>200</v>
      </c>
    </row>
    <row r="506" spans="1:9">
      <c r="A506" s="36" t="s">
        <v>137</v>
      </c>
      <c r="B506" s="36" t="s">
        <v>114</v>
      </c>
      <c r="C506" s="36">
        <v>1.6</v>
      </c>
      <c r="D506" s="36" t="s">
        <v>211</v>
      </c>
      <c r="E506" s="37">
        <f>C506</f>
        <v>1.6</v>
      </c>
      <c r="I506" s="36" t="s">
        <v>332</v>
      </c>
    </row>
    <row r="507" spans="1:9">
      <c r="A507" s="36" t="s">
        <v>136</v>
      </c>
      <c r="B507" s="36" t="s">
        <v>110</v>
      </c>
      <c r="C507" s="36">
        <v>6.16</v>
      </c>
      <c r="D507" s="36" t="s">
        <v>333</v>
      </c>
      <c r="E507" s="37">
        <f>C507/10*F507*(42.2/44.5)</f>
        <v>0.233941573033708</v>
      </c>
      <c r="F507" s="37">
        <f>1-(25.3/42.2)</f>
        <v>0.400473933649289</v>
      </c>
      <c r="I507" s="36" t="s">
        <v>334</v>
      </c>
    </row>
    <row r="508" spans="1:9">
      <c r="A508" s="36" t="s">
        <v>136</v>
      </c>
      <c r="B508" s="36" t="s">
        <v>110</v>
      </c>
      <c r="C508" s="36">
        <v>13.78</v>
      </c>
      <c r="D508" s="36" t="s">
        <v>333</v>
      </c>
      <c r="E508" s="37">
        <f>C508/10*F508*(42.2/44.5)</f>
        <v>0.523330337078652</v>
      </c>
      <c r="F508" s="37">
        <f>1-(25.3/42.2)</f>
        <v>0.400473933649289</v>
      </c>
      <c r="I508" s="36" t="s">
        <v>334</v>
      </c>
    </row>
    <row r="509" spans="1:9">
      <c r="A509" s="36" t="s">
        <v>154</v>
      </c>
      <c r="B509" s="36" t="s">
        <v>110</v>
      </c>
      <c r="E509" s="37">
        <v>0.316735822959889</v>
      </c>
      <c r="H509" s="36" t="s">
        <v>214</v>
      </c>
      <c r="I509" s="36" t="s">
        <v>201</v>
      </c>
    </row>
    <row r="510" spans="1:9">
      <c r="A510" s="36" t="s">
        <v>154</v>
      </c>
      <c r="B510" s="36" t="s">
        <v>110</v>
      </c>
      <c r="E510" s="37">
        <v>0.203526970954357</v>
      </c>
      <c r="H510" s="36" t="s">
        <v>214</v>
      </c>
      <c r="I510" s="36" t="s">
        <v>201</v>
      </c>
    </row>
    <row r="511" spans="1:9">
      <c r="A511" s="36" t="s">
        <v>184</v>
      </c>
      <c r="B511" s="36" t="s">
        <v>110</v>
      </c>
      <c r="E511" s="37">
        <v>0.000338753387533875</v>
      </c>
      <c r="H511" s="36" t="s">
        <v>214</v>
      </c>
      <c r="I511" s="36" t="s">
        <v>201</v>
      </c>
    </row>
    <row r="512" spans="1:9">
      <c r="A512" s="36" t="s">
        <v>184</v>
      </c>
      <c r="B512" s="36" t="s">
        <v>110</v>
      </c>
      <c r="E512" s="37">
        <v>3.38753387533875e-5</v>
      </c>
      <c r="H512" s="36" t="s">
        <v>214</v>
      </c>
      <c r="I512" s="36" t="s">
        <v>201</v>
      </c>
    </row>
    <row r="513" spans="1:9">
      <c r="A513" s="36" t="s">
        <v>184</v>
      </c>
      <c r="B513" s="36" t="s">
        <v>110</v>
      </c>
      <c r="E513" s="37">
        <v>0.0399604352126607</v>
      </c>
      <c r="H513" s="36" t="s">
        <v>214</v>
      </c>
      <c r="I513" s="36" t="s">
        <v>201</v>
      </c>
    </row>
    <row r="514" spans="1:9">
      <c r="A514" s="36" t="s">
        <v>126</v>
      </c>
      <c r="B514" s="36" t="s">
        <v>110</v>
      </c>
      <c r="C514" s="36">
        <v>0.004</v>
      </c>
      <c r="D514" s="36" t="s">
        <v>335</v>
      </c>
      <c r="E514" s="37">
        <f>C514*(35.6/62.9)</f>
        <v>0.00226391096979332</v>
      </c>
      <c r="I514" s="36" t="s">
        <v>336</v>
      </c>
    </row>
    <row r="515" spans="1:9">
      <c r="A515" s="36" t="s">
        <v>126</v>
      </c>
      <c r="B515" s="36" t="s">
        <v>110</v>
      </c>
      <c r="C515" s="36">
        <v>0.007</v>
      </c>
      <c r="D515" s="36" t="s">
        <v>335</v>
      </c>
      <c r="E515" s="37">
        <f>C515*(40/62.9)</f>
        <v>0.00445151033386328</v>
      </c>
      <c r="I515" s="36" t="s">
        <v>336</v>
      </c>
    </row>
    <row r="516" spans="1:9">
      <c r="A516" s="36" t="s">
        <v>108</v>
      </c>
      <c r="B516" s="36" t="s">
        <v>110</v>
      </c>
      <c r="C516" s="36">
        <v>0.006</v>
      </c>
      <c r="D516" s="36" t="s">
        <v>335</v>
      </c>
      <c r="E516" s="37">
        <f>C516*(40/43.5)</f>
        <v>0.00551724137931035</v>
      </c>
      <c r="I516" s="36" t="s">
        <v>336</v>
      </c>
    </row>
    <row r="517" spans="1:9">
      <c r="A517" s="36" t="s">
        <v>108</v>
      </c>
      <c r="B517" s="36" t="s">
        <v>110</v>
      </c>
      <c r="C517" s="36">
        <v>0.28</v>
      </c>
      <c r="D517" s="36" t="s">
        <v>335</v>
      </c>
      <c r="E517" s="37">
        <f>C517*(40/43.5)</f>
        <v>0.257471264367816</v>
      </c>
      <c r="I517" s="36" t="s">
        <v>336</v>
      </c>
    </row>
    <row r="518" spans="1:9">
      <c r="A518" s="36" t="s">
        <v>184</v>
      </c>
      <c r="B518" s="36" t="s">
        <v>110</v>
      </c>
      <c r="C518" s="36">
        <v>0.004</v>
      </c>
      <c r="D518" s="36" t="s">
        <v>335</v>
      </c>
      <c r="E518" s="37">
        <f>C518*(37.4/46.9)</f>
        <v>0.00318976545842218</v>
      </c>
      <c r="I518" s="36" t="s">
        <v>336</v>
      </c>
    </row>
    <row r="519" spans="1:9">
      <c r="A519" s="36" t="s">
        <v>184</v>
      </c>
      <c r="B519" s="36" t="s">
        <v>110</v>
      </c>
      <c r="C519" s="36">
        <v>0.001</v>
      </c>
      <c r="D519" s="36" t="s">
        <v>335</v>
      </c>
      <c r="E519" s="37">
        <f>C519*(37.5/46.9)</f>
        <v>0.000799573560767591</v>
      </c>
      <c r="I519" s="36" t="s">
        <v>336</v>
      </c>
    </row>
    <row r="520" spans="1:9">
      <c r="A520" s="36" t="s">
        <v>126</v>
      </c>
      <c r="B520" s="36" t="s">
        <v>114</v>
      </c>
      <c r="C520" s="36">
        <v>0.1</v>
      </c>
      <c r="D520" s="36" t="s">
        <v>217</v>
      </c>
      <c r="E520" s="37">
        <f>C520*F520</f>
        <v>0.06</v>
      </c>
      <c r="F520" s="37">
        <f>1-10/25</f>
        <v>0.6</v>
      </c>
      <c r="G520" s="37">
        <f>(80.24+101.32+123.61+152.84+2026.34+2743.76)/(2662.25+3293.82)</f>
        <v>0.877778468016662</v>
      </c>
      <c r="I520" s="36" t="s">
        <v>337</v>
      </c>
    </row>
    <row r="521" spans="1:9">
      <c r="A521" s="36" t="s">
        <v>126</v>
      </c>
      <c r="B521" s="36" t="s">
        <v>110</v>
      </c>
      <c r="C521" s="36">
        <v>0.13</v>
      </c>
      <c r="D521" s="36" t="s">
        <v>217</v>
      </c>
      <c r="E521" s="37">
        <f>C521*F521</f>
        <v>0.078</v>
      </c>
      <c r="F521" s="37">
        <f>1-10/25</f>
        <v>0.6</v>
      </c>
      <c r="I521" s="36" t="s">
        <v>337</v>
      </c>
    </row>
    <row r="522" spans="1:9">
      <c r="A522" s="36" t="s">
        <v>117</v>
      </c>
      <c r="B522" s="36" t="s">
        <v>110</v>
      </c>
      <c r="C522" s="36">
        <v>0.211</v>
      </c>
      <c r="D522" s="36" t="s">
        <v>338</v>
      </c>
      <c r="E522" s="37">
        <v>0.211</v>
      </c>
      <c r="I522" s="36" t="s">
        <v>205</v>
      </c>
    </row>
    <row r="523" spans="1:9">
      <c r="A523" s="36" t="s">
        <v>126</v>
      </c>
      <c r="B523" s="36" t="s">
        <v>110</v>
      </c>
      <c r="E523" s="37">
        <v>3.4322033</v>
      </c>
      <c r="H523" s="36" t="s">
        <v>214</v>
      </c>
      <c r="I523" s="36" t="s">
        <v>339</v>
      </c>
    </row>
    <row r="524" spans="1:9">
      <c r="A524" s="36" t="s">
        <v>126</v>
      </c>
      <c r="B524" s="36" t="s">
        <v>110</v>
      </c>
      <c r="E524" s="37">
        <v>3.3757062</v>
      </c>
      <c r="H524" s="36" t="s">
        <v>214</v>
      </c>
      <c r="I524" s="36" t="s">
        <v>339</v>
      </c>
    </row>
    <row r="525" spans="1:9">
      <c r="A525" s="36" t="s">
        <v>126</v>
      </c>
      <c r="B525" s="36" t="s">
        <v>110</v>
      </c>
      <c r="E525" s="37">
        <v>2.0762713</v>
      </c>
      <c r="H525" s="36" t="s">
        <v>214</v>
      </c>
      <c r="I525" s="36" t="s">
        <v>339</v>
      </c>
    </row>
    <row r="526" spans="1:9">
      <c r="A526" s="36" t="s">
        <v>126</v>
      </c>
      <c r="B526" s="36" t="s">
        <v>110</v>
      </c>
      <c r="E526" s="37">
        <v>1.4265537</v>
      </c>
      <c r="H526" s="36" t="s">
        <v>214</v>
      </c>
      <c r="I526" s="36" t="s">
        <v>339</v>
      </c>
    </row>
    <row r="527" spans="1:9">
      <c r="A527" s="36" t="s">
        <v>126</v>
      </c>
      <c r="B527" s="36" t="s">
        <v>110</v>
      </c>
      <c r="E527" s="37">
        <v>1.2570622</v>
      </c>
      <c r="H527" s="36" t="s">
        <v>214</v>
      </c>
      <c r="I527" s="36" t="s">
        <v>339</v>
      </c>
    </row>
    <row r="528" spans="1:9">
      <c r="A528" s="36" t="s">
        <v>126</v>
      </c>
      <c r="B528" s="36" t="s">
        <v>110</v>
      </c>
      <c r="E528" s="37">
        <v>1.1864407</v>
      </c>
      <c r="H528" s="36" t="s">
        <v>214</v>
      </c>
      <c r="I528" s="36" t="s">
        <v>339</v>
      </c>
    </row>
    <row r="529" spans="1:9">
      <c r="A529" s="36" t="s">
        <v>126</v>
      </c>
      <c r="B529" s="36" t="s">
        <v>110</v>
      </c>
      <c r="E529" s="37">
        <v>1.0169492</v>
      </c>
      <c r="H529" s="36" t="s">
        <v>214</v>
      </c>
      <c r="I529" s="36" t="s">
        <v>339</v>
      </c>
    </row>
    <row r="530" spans="1:9">
      <c r="A530" s="36" t="s">
        <v>126</v>
      </c>
      <c r="B530" s="36" t="s">
        <v>110</v>
      </c>
      <c r="E530" s="37">
        <v>0.8898305</v>
      </c>
      <c r="H530" s="36" t="s">
        <v>214</v>
      </c>
      <c r="I530" s="36" t="s">
        <v>339</v>
      </c>
    </row>
    <row r="531" spans="1:9">
      <c r="A531" s="36" t="s">
        <v>126</v>
      </c>
      <c r="B531" s="36" t="s">
        <v>110</v>
      </c>
      <c r="E531" s="37">
        <v>0.720339</v>
      </c>
      <c r="H531" s="36" t="s">
        <v>214</v>
      </c>
      <c r="I531" s="36" t="s">
        <v>339</v>
      </c>
    </row>
    <row r="532" spans="1:9">
      <c r="A532" s="36" t="s">
        <v>126</v>
      </c>
      <c r="B532" s="36" t="s">
        <v>110</v>
      </c>
      <c r="E532" s="37">
        <v>0.5508475</v>
      </c>
      <c r="H532" s="36" t="s">
        <v>214</v>
      </c>
      <c r="I532" s="36" t="s">
        <v>339</v>
      </c>
    </row>
    <row r="533" spans="1:9">
      <c r="A533" s="36" t="s">
        <v>126</v>
      </c>
      <c r="B533" s="36" t="s">
        <v>110</v>
      </c>
      <c r="E533" s="37">
        <v>0.40960452</v>
      </c>
      <c r="H533" s="36" t="s">
        <v>214</v>
      </c>
      <c r="I533" s="36" t="s">
        <v>339</v>
      </c>
    </row>
    <row r="534" spans="1:9">
      <c r="A534" s="36" t="s">
        <v>126</v>
      </c>
      <c r="B534" s="36" t="s">
        <v>110</v>
      </c>
      <c r="E534" s="37">
        <v>0.31073445</v>
      </c>
      <c r="H534" s="36" t="s">
        <v>214</v>
      </c>
      <c r="I534" s="36" t="s">
        <v>339</v>
      </c>
    </row>
    <row r="535" spans="1:9">
      <c r="A535" s="36" t="s">
        <v>126</v>
      </c>
      <c r="B535" s="36" t="s">
        <v>110</v>
      </c>
      <c r="E535" s="37">
        <v>0.11299435</v>
      </c>
      <c r="H535" s="36" t="s">
        <v>214</v>
      </c>
      <c r="I535" s="36" t="s">
        <v>339</v>
      </c>
    </row>
    <row r="536" spans="1:9">
      <c r="A536" s="36" t="s">
        <v>136</v>
      </c>
      <c r="B536" s="36" t="s">
        <v>110</v>
      </c>
      <c r="E536" s="37">
        <v>0.16113275</v>
      </c>
      <c r="H536" s="36" t="s">
        <v>214</v>
      </c>
      <c r="I536" s="36" t="s">
        <v>340</v>
      </c>
    </row>
    <row r="537" spans="1:9">
      <c r="A537" s="36" t="s">
        <v>136</v>
      </c>
      <c r="B537" s="36" t="s">
        <v>110</v>
      </c>
      <c r="E537" s="37">
        <v>0.051877573</v>
      </c>
      <c r="H537" s="36" t="s">
        <v>214</v>
      </c>
      <c r="I537" s="36" t="s">
        <v>340</v>
      </c>
    </row>
    <row r="538" spans="1:9">
      <c r="A538" s="36" t="s">
        <v>136</v>
      </c>
      <c r="B538" s="36" t="s">
        <v>110</v>
      </c>
      <c r="E538" s="37">
        <v>0.412845135</v>
      </c>
      <c r="H538" s="36" t="s">
        <v>214</v>
      </c>
      <c r="I538" s="36" t="s">
        <v>340</v>
      </c>
    </row>
    <row r="539" spans="1:9">
      <c r="A539" s="36" t="s">
        <v>136</v>
      </c>
      <c r="B539" s="36" t="s">
        <v>110</v>
      </c>
      <c r="E539" s="37">
        <v>0.0147778855</v>
      </c>
      <c r="H539" s="36" t="s">
        <v>214</v>
      </c>
      <c r="I539" s="36" t="s">
        <v>340</v>
      </c>
    </row>
    <row r="540" spans="1:9">
      <c r="A540" s="36" t="s">
        <v>136</v>
      </c>
      <c r="B540" s="36" t="s">
        <v>110</v>
      </c>
      <c r="E540" s="37">
        <v>0.12841615</v>
      </c>
      <c r="H540" s="36" t="s">
        <v>214</v>
      </c>
      <c r="I540" s="36" t="s">
        <v>340</v>
      </c>
    </row>
    <row r="541" spans="1:9">
      <c r="A541" s="36" t="s">
        <v>136</v>
      </c>
      <c r="B541" s="36" t="s">
        <v>110</v>
      </c>
      <c r="E541" s="37">
        <v>0.024082048</v>
      </c>
      <c r="H541" s="36" t="s">
        <v>214</v>
      </c>
      <c r="I541" s="36" t="s">
        <v>340</v>
      </c>
    </row>
    <row r="542" spans="1:9">
      <c r="A542" s="36" t="s">
        <v>136</v>
      </c>
      <c r="B542" s="36" t="s">
        <v>110</v>
      </c>
      <c r="E542" s="37">
        <v>0.008052691</v>
      </c>
      <c r="H542" s="36" t="s">
        <v>214</v>
      </c>
      <c r="I542" s="36" t="s">
        <v>340</v>
      </c>
    </row>
    <row r="543" spans="1:9">
      <c r="A543" s="36" t="s">
        <v>136</v>
      </c>
      <c r="B543" s="36" t="s">
        <v>110</v>
      </c>
      <c r="E543" s="37">
        <v>0.6313204</v>
      </c>
      <c r="H543" s="36" t="s">
        <v>214</v>
      </c>
      <c r="I543" s="36" t="s">
        <v>340</v>
      </c>
    </row>
    <row r="544" spans="1:9">
      <c r="A544" s="36" t="s">
        <v>136</v>
      </c>
      <c r="B544" s="36" t="s">
        <v>110</v>
      </c>
      <c r="E544" s="37">
        <v>0.0115439445</v>
      </c>
      <c r="H544" s="36" t="s">
        <v>214</v>
      </c>
      <c r="I544" s="36" t="s">
        <v>340</v>
      </c>
    </row>
    <row r="545" spans="1:9">
      <c r="A545" s="36" t="s">
        <v>136</v>
      </c>
      <c r="B545" s="36" t="s">
        <v>110</v>
      </c>
      <c r="E545" s="37">
        <v>0.03752659</v>
      </c>
      <c r="H545" s="36" t="s">
        <v>214</v>
      </c>
      <c r="I545" s="36" t="s">
        <v>340</v>
      </c>
    </row>
    <row r="546" spans="1:9">
      <c r="A546" s="36" t="s">
        <v>136</v>
      </c>
      <c r="B546" s="36" t="s">
        <v>110</v>
      </c>
      <c r="E546" s="37">
        <v>0.027576225</v>
      </c>
      <c r="H546" s="36" t="s">
        <v>214</v>
      </c>
      <c r="I546" s="36" t="s">
        <v>340</v>
      </c>
    </row>
    <row r="547" spans="1:9">
      <c r="A547" s="36" t="s">
        <v>136</v>
      </c>
      <c r="B547" s="36" t="s">
        <v>110</v>
      </c>
      <c r="E547" s="37">
        <v>0.0063655435</v>
      </c>
      <c r="H547" s="36" t="s">
        <v>214</v>
      </c>
      <c r="I547" s="36" t="s">
        <v>340</v>
      </c>
    </row>
    <row r="548" spans="1:9">
      <c r="A548" s="36" t="s">
        <v>136</v>
      </c>
      <c r="B548" s="36" t="s">
        <v>110</v>
      </c>
      <c r="E548" s="37">
        <v>0.0173597765</v>
      </c>
      <c r="H548" s="36" t="s">
        <v>214</v>
      </c>
      <c r="I548" s="36" t="s">
        <v>340</v>
      </c>
    </row>
    <row r="549" spans="1:9">
      <c r="A549" s="36" t="s">
        <v>136</v>
      </c>
      <c r="B549" s="36" t="s">
        <v>110</v>
      </c>
      <c r="E549" s="37">
        <v>0.115614885</v>
      </c>
      <c r="H549" s="36" t="s">
        <v>214</v>
      </c>
      <c r="I549" s="36" t="s">
        <v>340</v>
      </c>
    </row>
    <row r="550" spans="1:9">
      <c r="A550" s="36" t="s">
        <v>174</v>
      </c>
      <c r="B550" s="36" t="s">
        <v>110</v>
      </c>
      <c r="C550" s="36">
        <v>0.1</v>
      </c>
      <c r="D550" s="36" t="s">
        <v>211</v>
      </c>
      <c r="E550" s="37">
        <v>0.1</v>
      </c>
      <c r="I550" s="35" t="s">
        <v>341</v>
      </c>
    </row>
    <row r="551" spans="1:9">
      <c r="A551" s="36" t="s">
        <v>174</v>
      </c>
      <c r="B551" s="36" t="s">
        <v>110</v>
      </c>
      <c r="C551" s="36">
        <v>0.02</v>
      </c>
      <c r="D551" s="36" t="s">
        <v>211</v>
      </c>
      <c r="E551" s="37">
        <v>0.02</v>
      </c>
      <c r="I551" s="35" t="s">
        <v>341</v>
      </c>
    </row>
    <row r="552" spans="1:9">
      <c r="A552" s="36" t="s">
        <v>174</v>
      </c>
      <c r="B552" s="36" t="s">
        <v>110</v>
      </c>
      <c r="C552" s="36">
        <v>0.08</v>
      </c>
      <c r="D552" s="36" t="s">
        <v>211</v>
      </c>
      <c r="E552" s="37">
        <v>0.08</v>
      </c>
      <c r="I552" s="35" t="s">
        <v>341</v>
      </c>
    </row>
    <row r="553" spans="1:9">
      <c r="A553" s="36" t="s">
        <v>174</v>
      </c>
      <c r="B553" s="36" t="s">
        <v>110</v>
      </c>
      <c r="C553" s="36">
        <v>0.22</v>
      </c>
      <c r="D553" s="36" t="s">
        <v>211</v>
      </c>
      <c r="E553" s="37">
        <v>0.22</v>
      </c>
      <c r="I553" s="35" t="s">
        <v>341</v>
      </c>
    </row>
    <row r="554" spans="1:9">
      <c r="A554" s="36" t="s">
        <v>174</v>
      </c>
      <c r="B554" s="36" t="s">
        <v>110</v>
      </c>
      <c r="C554" s="36">
        <v>0.77</v>
      </c>
      <c r="D554" s="36" t="s">
        <v>211</v>
      </c>
      <c r="E554" s="37">
        <v>0.77</v>
      </c>
      <c r="I554" s="35" t="s">
        <v>341</v>
      </c>
    </row>
    <row r="555" s="35" customFormat="1" spans="1:9">
      <c r="A555" s="42" t="s">
        <v>139</v>
      </c>
      <c r="B555" s="36" t="s">
        <v>110</v>
      </c>
      <c r="C555" s="36">
        <v>0.038</v>
      </c>
      <c r="D555" s="36" t="s">
        <v>238</v>
      </c>
      <c r="E555" s="37">
        <v>0.038</v>
      </c>
      <c r="F555" s="37"/>
      <c r="G555" s="37"/>
      <c r="H555" s="36"/>
      <c r="I555" s="36" t="s">
        <v>342</v>
      </c>
    </row>
    <row r="556" spans="1:9">
      <c r="A556" s="42" t="s">
        <v>139</v>
      </c>
      <c r="B556" s="36" t="s">
        <v>110</v>
      </c>
      <c r="C556" s="36">
        <v>0.073</v>
      </c>
      <c r="D556" s="36" t="s">
        <v>238</v>
      </c>
      <c r="E556" s="37">
        <v>0.073</v>
      </c>
      <c r="I556" s="36" t="s">
        <v>342</v>
      </c>
    </row>
    <row r="557" spans="1:9">
      <c r="A557" s="36" t="s">
        <v>117</v>
      </c>
      <c r="B557" s="36" t="s">
        <v>110</v>
      </c>
      <c r="C557" s="36">
        <v>0.53</v>
      </c>
      <c r="D557" s="36" t="s">
        <v>211</v>
      </c>
      <c r="E557" s="37">
        <v>0.53</v>
      </c>
      <c r="I557" s="36" t="s">
        <v>343</v>
      </c>
    </row>
    <row r="558" spans="1:9">
      <c r="A558" s="36" t="s">
        <v>117</v>
      </c>
      <c r="B558" s="36" t="s">
        <v>110</v>
      </c>
      <c r="C558" s="36">
        <v>0.58</v>
      </c>
      <c r="D558" s="36" t="s">
        <v>211</v>
      </c>
      <c r="E558" s="37">
        <v>0.58</v>
      </c>
      <c r="I558" s="36" t="s">
        <v>343</v>
      </c>
    </row>
    <row r="559" spans="1:9">
      <c r="A559" s="36" t="s">
        <v>126</v>
      </c>
      <c r="B559" s="36" t="s">
        <v>110</v>
      </c>
      <c r="C559" s="36">
        <v>4.6</v>
      </c>
      <c r="D559" s="36" t="s">
        <v>211</v>
      </c>
      <c r="E559" s="37">
        <v>4.6</v>
      </c>
      <c r="I559" s="36" t="s">
        <v>344</v>
      </c>
    </row>
    <row r="560" spans="1:9">
      <c r="A560" s="36" t="s">
        <v>126</v>
      </c>
      <c r="B560" s="36" t="s">
        <v>110</v>
      </c>
      <c r="C560" s="36">
        <v>2.3</v>
      </c>
      <c r="D560" s="36" t="s">
        <v>345</v>
      </c>
      <c r="E560" s="37">
        <f>C560/10*28/44*F560</f>
        <v>0.0736209090909091</v>
      </c>
      <c r="F560" s="37">
        <v>0.503</v>
      </c>
      <c r="I560" s="36" t="s">
        <v>207</v>
      </c>
    </row>
    <row r="561" spans="1:9">
      <c r="A561" s="36" t="s">
        <v>126</v>
      </c>
      <c r="B561" s="36" t="s">
        <v>110</v>
      </c>
      <c r="C561" s="36">
        <v>0.8</v>
      </c>
      <c r="D561" s="36" t="s">
        <v>345</v>
      </c>
      <c r="E561" s="37">
        <f>C561/10*28/44*F561</f>
        <v>0.04424</v>
      </c>
      <c r="F561" s="37">
        <v>0.869</v>
      </c>
      <c r="I561" s="36" t="s">
        <v>207</v>
      </c>
    </row>
    <row r="562" spans="1:9">
      <c r="A562" s="36" t="s">
        <v>154</v>
      </c>
      <c r="B562" s="36" t="s">
        <v>110</v>
      </c>
      <c r="C562" s="36">
        <v>3.6</v>
      </c>
      <c r="D562" s="36" t="s">
        <v>345</v>
      </c>
      <c r="E562" s="37">
        <f>C562/10*28/44*F562</f>
        <v>0.125083636363636</v>
      </c>
      <c r="F562" s="37">
        <v>0.546</v>
      </c>
      <c r="I562" s="36" t="s">
        <v>207</v>
      </c>
    </row>
    <row r="563" spans="1:9">
      <c r="A563" s="36" t="s">
        <v>126</v>
      </c>
      <c r="B563" s="36" t="s">
        <v>110</v>
      </c>
      <c r="E563" s="37">
        <v>11.4941805599245</v>
      </c>
      <c r="H563" s="36" t="s">
        <v>214</v>
      </c>
      <c r="I563" s="36" t="s">
        <v>346</v>
      </c>
    </row>
    <row r="564" spans="1:9">
      <c r="A564" s="36" t="s">
        <v>126</v>
      </c>
      <c r="B564" s="36" t="s">
        <v>110</v>
      </c>
      <c r="E564" s="37">
        <v>7.134318968229</v>
      </c>
      <c r="H564" s="36" t="s">
        <v>214</v>
      </c>
      <c r="I564" s="36" t="s">
        <v>346</v>
      </c>
    </row>
    <row r="565" spans="1:9">
      <c r="A565" s="36" t="s">
        <v>154</v>
      </c>
      <c r="B565" s="36" t="s">
        <v>110</v>
      </c>
      <c r="C565" s="36">
        <v>0.52</v>
      </c>
      <c r="D565" s="36" t="s">
        <v>238</v>
      </c>
      <c r="E565" s="37">
        <v>0.52</v>
      </c>
      <c r="I565" s="36" t="s">
        <v>347</v>
      </c>
    </row>
    <row r="566" spans="1:9">
      <c r="A566" s="36" t="s">
        <v>126</v>
      </c>
      <c r="B566" s="36" t="s">
        <v>110</v>
      </c>
      <c r="E566" s="37">
        <v>1.96953229822886</v>
      </c>
      <c r="H566" s="36" t="s">
        <v>214</v>
      </c>
      <c r="I566" s="36" t="s">
        <v>348</v>
      </c>
    </row>
    <row r="567" spans="1:9">
      <c r="A567" s="36" t="s">
        <v>126</v>
      </c>
      <c r="B567" s="36" t="s">
        <v>110</v>
      </c>
      <c r="E567" s="37">
        <v>0.393906459645771</v>
      </c>
      <c r="H567" s="36" t="s">
        <v>214</v>
      </c>
      <c r="I567" s="36" t="s">
        <v>348</v>
      </c>
    </row>
    <row r="568" spans="1:9">
      <c r="A568" s="36" t="s">
        <v>126</v>
      </c>
      <c r="B568" s="36" t="s">
        <v>114</v>
      </c>
      <c r="C568" s="36">
        <f>(3910.65+6023.12)/2</f>
        <v>4966.885</v>
      </c>
      <c r="D568" s="36" t="s">
        <v>349</v>
      </c>
      <c r="E568" s="37">
        <f>C568*1000*(28/44)/(80000*25*365)*100</f>
        <v>0.432978767123288</v>
      </c>
      <c r="I568" s="35" t="s">
        <v>210</v>
      </c>
    </row>
    <row r="569" spans="1:9">
      <c r="A569" s="36" t="s">
        <v>154</v>
      </c>
      <c r="B569" s="36" t="s">
        <v>110</v>
      </c>
      <c r="C569" s="36">
        <v>0.608</v>
      </c>
      <c r="D569" s="36" t="s">
        <v>238</v>
      </c>
      <c r="E569" s="37">
        <v>0.608</v>
      </c>
      <c r="I569" s="36" t="s">
        <v>350</v>
      </c>
    </row>
    <row r="570" spans="1:9">
      <c r="A570" s="36" t="s">
        <v>154</v>
      </c>
      <c r="B570" s="36" t="s">
        <v>110</v>
      </c>
      <c r="C570" s="36">
        <v>0.102</v>
      </c>
      <c r="D570" s="36" t="s">
        <v>238</v>
      </c>
      <c r="E570" s="37">
        <v>0.102</v>
      </c>
      <c r="I570" s="36" t="s">
        <v>350</v>
      </c>
    </row>
    <row r="571" spans="1:9">
      <c r="A571" s="36" t="s">
        <v>154</v>
      </c>
      <c r="B571" s="36" t="s">
        <v>110</v>
      </c>
      <c r="C571" s="36">
        <v>0.045</v>
      </c>
      <c r="D571" s="36" t="s">
        <v>238</v>
      </c>
      <c r="E571" s="37">
        <v>0.045</v>
      </c>
      <c r="I571" s="36" t="s">
        <v>350</v>
      </c>
    </row>
    <row r="572" spans="1:9">
      <c r="A572" s="36" t="s">
        <v>154</v>
      </c>
      <c r="B572" s="36" t="s">
        <v>110</v>
      </c>
      <c r="C572" s="36">
        <v>0.029</v>
      </c>
      <c r="D572" s="36" t="s">
        <v>238</v>
      </c>
      <c r="E572" s="37">
        <v>0.029</v>
      </c>
      <c r="I572" s="36" t="s">
        <v>350</v>
      </c>
    </row>
    <row r="573" spans="1:9">
      <c r="A573" s="36" t="s">
        <v>154</v>
      </c>
      <c r="B573" s="36" t="s">
        <v>110</v>
      </c>
      <c r="C573" s="36">
        <v>0.028</v>
      </c>
      <c r="D573" s="36" t="s">
        <v>238</v>
      </c>
      <c r="E573" s="37">
        <v>0.028</v>
      </c>
      <c r="I573" s="36" t="s">
        <v>350</v>
      </c>
    </row>
    <row r="574" spans="1:9">
      <c r="A574" s="36" t="s">
        <v>154</v>
      </c>
      <c r="B574" s="36" t="s">
        <v>110</v>
      </c>
      <c r="C574" s="36">
        <v>0.025</v>
      </c>
      <c r="D574" s="36" t="s">
        <v>238</v>
      </c>
      <c r="E574" s="37">
        <v>0.025</v>
      </c>
      <c r="I574" s="36" t="s">
        <v>350</v>
      </c>
    </row>
  </sheetData>
  <hyperlinks>
    <hyperlink ref="I43" r:id="rId1" display="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 tooltip="https://doi.org/10.2175/193864710798181584"/>
    <hyperlink ref="I44" r:id="rId1" display="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 tooltip="https://doi.org/10.2175/193864710798181584"/>
    <hyperlink ref="I45" r:id="rId1" display="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 tooltip="https://doi.org/10.2175/193864710798181584"/>
    <hyperlink ref="I180" r:id="rId2" display="Hilander, H. Nitrous oxide emission dynamics and emission factors of two Finnish wastewater treatment plants. url: https://aaltodoc.aalto.fi/server/api/core/bitstreams/df59b59c-c4b7-4c64-a2fb-f95648446556/content (2022)." tooltip="https://doi.org/10.2166/wst.2023.420"/>
    <hyperlink ref="I125" r:id="rId3" display="Filali, A., Fayolle, Y., Peu, P., Philippe, L., Nauleau, F. &amp; Gillot, S. Aeration control in a full-scale activated sludge wastewater treatment plant: impact on performances, energy consumption and N2O emission. In Proc. 11th IWA Conference on Instrumentation, Control and Automation (ICA2013), Narbonne, France (2013). url: https://hal.science/hal-00941253" tooltip="https://hal.science/hal-00941253"/>
    <hyperlink ref="I124" r:id="rId4" display="Filali, A., Bollon, J., Molle, P., Mander, Ü. &amp; Gillot, S. High-frequency measurement of N₂O emissions from a full-scale vertical subsurface flow constructed wetland. Ecological Engineering 108, 240–248, doi:https://doi.org/10.1016/j.ecoleng.2017.08.037 (2017)." tooltip="https://doi.org/10.1016/j.e%EE%80%80coleng.2017.08.037"/>
    <hyperlink ref="I429" r:id="rId5" display="Sun, S., Cheng, X., Li, S., Qi, F., Liu, Y. &amp; Sun, D. N₂O emission from full-scale urban wastewater treatment plants: a comparison between A²O and SBR. Water Science and Technology 67, 1887–1893, doi:https://doi.org/10.2166/wst.2013.066 (2013)." tooltip="https://doi.org/10.2166/wst.2013.066"/>
    <hyperlink ref="I430" r:id="rId5" display="Sun, S., Cheng, X., Li, S., Qi, F., Liu, Y. &amp; Sun, D. N₂O emission from full-scale urban wastewater treatment plants: a comparison between A²O and SBR. Water Science and Technology 67, 1887–1893, doi:https://doi.org/10.2166/wst.2013.066 (2013)." tooltip="https://doi.org/10.2166/wst.2013.066"/>
    <hyperlink ref="I181" r:id="rId2" display="Hilander, H. Nitrous oxide emission dynamics and emission factors of two Finnish wastewater treatment plants. url: https://aaltodoc.aalto.fi/server/api/core/bitstreams/df59b59c-c4b7-4c64-a2fb-f95648446556/content (2022)." tooltip="https://doi.org/10.2166/wst.2023.420"/>
    <hyperlink ref="I182" r:id="rId2" display="Hilander, H. Nitrous oxide emission dynamics and emission factors of two Finnish wastewater treatment plants. url: https://aaltodoc.aalto.fi/server/api/core/bitstreams/df59b59c-c4b7-4c64-a2fb-f95648446556/content (2022)." tooltip="https://doi.org/10.2166/wst.2023.420"/>
    <hyperlink ref="I183" r:id="rId2" display="Hilander, H. Nitrous oxide emission dynamics and emission factors of two Finnish wastewater treatment plants. url: https://aaltodoc.aalto.fi/server/api/core/bitstreams/df59b59c-c4b7-4c64-a2fb-f95648446556/content (2022)." tooltip="https://doi.org/10.2166/wst.2023.420"/>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workbookViewId="0">
      <selection activeCell="D26" sqref="D26"/>
    </sheetView>
  </sheetViews>
  <sheetFormatPr defaultColWidth="9" defaultRowHeight="15" outlineLevelCol="7"/>
  <cols>
    <col min="1" max="1" width="7.75" style="12" customWidth="1"/>
    <col min="2" max="2" width="20.625" style="12" customWidth="1"/>
    <col min="3" max="3" width="15.625" style="13" customWidth="1"/>
    <col min="4" max="4" width="15.75" style="12" customWidth="1"/>
    <col min="5" max="5" width="13.375" style="13" customWidth="1"/>
    <col min="6" max="6" width="24" style="12" customWidth="1"/>
    <col min="7" max="7" width="66" style="12" customWidth="1"/>
    <col min="8" max="8" width="255.625" style="12" customWidth="1"/>
    <col min="9" max="16384" width="9" style="12"/>
  </cols>
  <sheetData>
    <row r="1" spans="1:8">
      <c r="A1" s="14" t="s">
        <v>72</v>
      </c>
      <c r="B1" s="15" t="s">
        <v>74</v>
      </c>
      <c r="C1" s="16" t="s">
        <v>76</v>
      </c>
      <c r="D1" s="15" t="s">
        <v>45</v>
      </c>
      <c r="E1" s="16" t="s">
        <v>79</v>
      </c>
      <c r="F1" s="15" t="s">
        <v>81</v>
      </c>
      <c r="G1" s="15" t="s">
        <v>55</v>
      </c>
      <c r="H1" s="17" t="s">
        <v>57</v>
      </c>
    </row>
    <row r="2" spans="1:8">
      <c r="A2" s="18" t="s">
        <v>351</v>
      </c>
      <c r="B2" s="12" t="s">
        <v>352</v>
      </c>
      <c r="C2" s="19">
        <v>90</v>
      </c>
      <c r="D2" s="12" t="s">
        <v>353</v>
      </c>
      <c r="G2" s="12" t="s">
        <v>354</v>
      </c>
      <c r="H2" s="20" t="s">
        <v>355</v>
      </c>
    </row>
    <row r="3" spans="1:8">
      <c r="A3" s="18"/>
      <c r="B3" s="12" t="s">
        <v>356</v>
      </c>
      <c r="C3" s="19">
        <v>72</v>
      </c>
      <c r="D3" s="12" t="s">
        <v>353</v>
      </c>
      <c r="G3" s="12" t="s">
        <v>354</v>
      </c>
      <c r="H3" s="20" t="s">
        <v>355</v>
      </c>
    </row>
    <row r="4" spans="1:8">
      <c r="A4" s="21"/>
      <c r="B4" s="22" t="s">
        <v>357</v>
      </c>
      <c r="C4" s="23">
        <v>26.98</v>
      </c>
      <c r="D4" s="22" t="s">
        <v>353</v>
      </c>
      <c r="E4" s="23"/>
      <c r="F4" s="22"/>
      <c r="G4" s="22"/>
      <c r="H4" s="24" t="s">
        <v>358</v>
      </c>
    </row>
    <row r="6" spans="1:8">
      <c r="A6" s="25" t="s">
        <v>359</v>
      </c>
      <c r="B6" s="26" t="s">
        <v>352</v>
      </c>
      <c r="C6" s="27">
        <v>90</v>
      </c>
      <c r="D6" s="26" t="s">
        <v>353</v>
      </c>
      <c r="E6" s="28"/>
      <c r="F6" s="26"/>
      <c r="G6" s="26" t="s">
        <v>354</v>
      </c>
      <c r="H6" s="29" t="s">
        <v>355</v>
      </c>
    </row>
    <row r="7" spans="1:8">
      <c r="A7" s="18"/>
      <c r="B7" s="12" t="s">
        <v>356</v>
      </c>
      <c r="C7" s="19">
        <v>76</v>
      </c>
      <c r="D7" s="12" t="s">
        <v>353</v>
      </c>
      <c r="G7" s="12" t="s">
        <v>354</v>
      </c>
      <c r="H7" s="20" t="s">
        <v>355</v>
      </c>
    </row>
    <row r="8" spans="1:8">
      <c r="A8" s="18"/>
      <c r="B8" s="12" t="s">
        <v>357</v>
      </c>
      <c r="C8" s="13">
        <v>29.5</v>
      </c>
      <c r="D8" s="12" t="s">
        <v>353</v>
      </c>
      <c r="H8" s="30" t="s">
        <v>358</v>
      </c>
    </row>
    <row r="9" spans="1:8">
      <c r="A9" s="18"/>
      <c r="B9" s="12" t="s">
        <v>360</v>
      </c>
      <c r="C9" s="13">
        <f>E9*2.4</f>
        <v>0.0024</v>
      </c>
      <c r="D9" s="12" t="s">
        <v>361</v>
      </c>
      <c r="E9" s="13">
        <v>0.001</v>
      </c>
      <c r="F9" s="12" t="s">
        <v>362</v>
      </c>
      <c r="H9" s="30" t="s">
        <v>358</v>
      </c>
    </row>
    <row r="10" spans="1:8">
      <c r="A10" s="21"/>
      <c r="B10" s="22" t="s">
        <v>363</v>
      </c>
      <c r="C10" s="23">
        <v>0.3</v>
      </c>
      <c r="D10" s="22" t="s">
        <v>364</v>
      </c>
      <c r="E10" s="23"/>
      <c r="F10" s="22"/>
      <c r="G10" s="22"/>
      <c r="H10" s="24" t="s">
        <v>358</v>
      </c>
    </row>
    <row r="12" spans="1:8">
      <c r="A12" s="25" t="s">
        <v>365</v>
      </c>
      <c r="B12" s="26" t="s">
        <v>352</v>
      </c>
      <c r="C12" s="28">
        <v>87</v>
      </c>
      <c r="D12" s="26" t="s">
        <v>353</v>
      </c>
      <c r="E12" s="28"/>
      <c r="F12" s="26"/>
      <c r="G12" s="26" t="s">
        <v>354</v>
      </c>
      <c r="H12" s="31" t="s">
        <v>366</v>
      </c>
    </row>
    <row r="13" spans="1:8">
      <c r="A13" s="18"/>
      <c r="B13" s="12" t="s">
        <v>356</v>
      </c>
      <c r="C13" s="13">
        <f>E13*1.4*100*0.87</f>
        <v>15.3468</v>
      </c>
      <c r="D13" s="12" t="s">
        <v>353</v>
      </c>
      <c r="E13" s="13">
        <v>0.126</v>
      </c>
      <c r="F13" s="12" t="s">
        <v>367</v>
      </c>
      <c r="H13" s="30" t="s">
        <v>358</v>
      </c>
    </row>
    <row r="14" spans="1:8">
      <c r="A14" s="18"/>
      <c r="B14" s="12" t="s">
        <v>357</v>
      </c>
      <c r="C14" s="13">
        <v>14.5</v>
      </c>
      <c r="D14" s="12" t="s">
        <v>353</v>
      </c>
      <c r="H14" s="30" t="s">
        <v>358</v>
      </c>
    </row>
    <row r="15" spans="1:8">
      <c r="A15" s="21"/>
      <c r="B15" s="22" t="s">
        <v>360</v>
      </c>
      <c r="C15" s="23">
        <f>E15*0.717/0.87*2.4</f>
        <v>0.393608275862069</v>
      </c>
      <c r="D15" s="22" t="s">
        <v>361</v>
      </c>
      <c r="E15" s="23">
        <v>0.199</v>
      </c>
      <c r="F15" s="22" t="s">
        <v>368</v>
      </c>
      <c r="G15" s="22" t="s">
        <v>369</v>
      </c>
      <c r="H15" s="24" t="s">
        <v>366</v>
      </c>
    </row>
    <row r="17" spans="1:8">
      <c r="A17" s="25" t="s">
        <v>370</v>
      </c>
      <c r="B17" s="26" t="s">
        <v>371</v>
      </c>
      <c r="C17" s="76" t="s">
        <v>372</v>
      </c>
      <c r="D17" s="26" t="s">
        <v>353</v>
      </c>
      <c r="E17" s="28">
        <v>67</v>
      </c>
      <c r="F17" s="26" t="s">
        <v>353</v>
      </c>
      <c r="G17" s="26"/>
      <c r="H17" s="31" t="s">
        <v>373</v>
      </c>
    </row>
    <row r="18" spans="1:8">
      <c r="A18" s="18"/>
      <c r="B18" s="12" t="s">
        <v>374</v>
      </c>
      <c r="C18" s="13">
        <f>1-(100-C4)/100*(100-C17)/100</f>
        <v>0.827983776438746</v>
      </c>
      <c r="E18" s="13">
        <v>50</v>
      </c>
      <c r="F18" s="12" t="s">
        <v>353</v>
      </c>
      <c r="G18" s="32" t="s">
        <v>375</v>
      </c>
      <c r="H18" s="30" t="s">
        <v>373</v>
      </c>
    </row>
    <row r="19" spans="1:8">
      <c r="A19" s="18"/>
      <c r="B19" s="12" t="s">
        <v>376</v>
      </c>
      <c r="C19" s="13">
        <f>1-(100-C8)/100*(100-C17)/100</f>
        <v>0.833920244301994</v>
      </c>
      <c r="E19" s="13">
        <v>85</v>
      </c>
      <c r="F19" s="12" t="s">
        <v>353</v>
      </c>
      <c r="G19" s="32" t="s">
        <v>375</v>
      </c>
      <c r="H19" s="30" t="s">
        <v>373</v>
      </c>
    </row>
    <row r="20" spans="1:8">
      <c r="A20" s="18"/>
      <c r="B20" s="12" t="s">
        <v>377</v>
      </c>
      <c r="C20" s="13">
        <f>1-(100-C14)/100*(100-C17)/100</f>
        <v>0.798584126068376</v>
      </c>
      <c r="E20" s="13">
        <v>94</v>
      </c>
      <c r="F20" s="12" t="s">
        <v>353</v>
      </c>
      <c r="G20" s="32" t="s">
        <v>375</v>
      </c>
      <c r="H20" s="30" t="s">
        <v>378</v>
      </c>
    </row>
    <row r="21" spans="1:8">
      <c r="A21" s="18"/>
      <c r="E21" s="13">
        <v>70.87</v>
      </c>
      <c r="F21" s="12" t="s">
        <v>353</v>
      </c>
      <c r="H21" s="30" t="s">
        <v>379</v>
      </c>
    </row>
    <row r="22" spans="1:8">
      <c r="A22" s="18"/>
      <c r="E22" s="13">
        <v>88.3</v>
      </c>
      <c r="F22" s="12" t="s">
        <v>353</v>
      </c>
      <c r="H22" s="30" t="s">
        <v>380</v>
      </c>
    </row>
    <row r="23" spans="1:8">
      <c r="A23" s="18"/>
      <c r="E23" s="13">
        <v>80.2</v>
      </c>
      <c r="F23" s="12" t="s">
        <v>353</v>
      </c>
      <c r="H23" s="30" t="s">
        <v>380</v>
      </c>
    </row>
    <row r="24" spans="1:8">
      <c r="A24" s="18"/>
      <c r="E24" s="13">
        <v>76.8</v>
      </c>
      <c r="F24" s="12" t="s">
        <v>353</v>
      </c>
      <c r="H24" s="30" t="s">
        <v>380</v>
      </c>
    </row>
    <row r="25" spans="1:8">
      <c r="A25" s="18"/>
      <c r="E25" s="13">
        <v>80.1</v>
      </c>
      <c r="F25" s="12" t="s">
        <v>353</v>
      </c>
      <c r="H25" s="30" t="s">
        <v>380</v>
      </c>
    </row>
    <row r="26" spans="1:8">
      <c r="A26" s="18"/>
      <c r="E26" s="13">
        <v>76.1</v>
      </c>
      <c r="F26" s="12" t="s">
        <v>353</v>
      </c>
      <c r="H26" s="30" t="s">
        <v>380</v>
      </c>
    </row>
    <row r="27" spans="1:8">
      <c r="A27" s="18"/>
      <c r="E27" s="13">
        <v>74.7</v>
      </c>
      <c r="F27" s="12" t="s">
        <v>353</v>
      </c>
      <c r="H27" s="30" t="s">
        <v>380</v>
      </c>
    </row>
    <row r="28" spans="1:8">
      <c r="A28" s="18"/>
      <c r="E28" s="13">
        <v>81.5</v>
      </c>
      <c r="F28" s="12" t="s">
        <v>353</v>
      </c>
      <c r="H28" s="30" t="s">
        <v>380</v>
      </c>
    </row>
    <row r="29" spans="1:8">
      <c r="A29" s="18"/>
      <c r="E29" s="13">
        <v>79.8</v>
      </c>
      <c r="F29" s="12" t="s">
        <v>353</v>
      </c>
      <c r="H29" s="30" t="s">
        <v>380</v>
      </c>
    </row>
    <row r="30" spans="1:8">
      <c r="A30" s="18"/>
      <c r="E30" s="13">
        <v>74.4</v>
      </c>
      <c r="F30" s="12" t="s">
        <v>353</v>
      </c>
      <c r="G30" s="33"/>
      <c r="H30" s="30" t="s">
        <v>381</v>
      </c>
    </row>
    <row r="31" spans="1:8">
      <c r="A31" s="18"/>
      <c r="E31" s="13">
        <v>81.1965811965812</v>
      </c>
      <c r="F31" s="12" t="s">
        <v>353</v>
      </c>
      <c r="G31" s="33"/>
      <c r="H31" s="30" t="s">
        <v>382</v>
      </c>
    </row>
    <row r="32" spans="1:8">
      <c r="A32" s="18"/>
      <c r="E32" s="13">
        <v>76</v>
      </c>
      <c r="F32" s="12" t="s">
        <v>353</v>
      </c>
      <c r="G32" s="33"/>
      <c r="H32" s="30" t="s">
        <v>383</v>
      </c>
    </row>
    <row r="33" spans="1:8">
      <c r="A33" s="18"/>
      <c r="E33" s="13">
        <v>71</v>
      </c>
      <c r="F33" s="12" t="s">
        <v>353</v>
      </c>
      <c r="G33" s="33"/>
      <c r="H33" s="30" t="s">
        <v>383</v>
      </c>
    </row>
    <row r="34" spans="1:8">
      <c r="A34" s="18"/>
      <c r="E34" s="13">
        <v>69</v>
      </c>
      <c r="F34" s="12" t="s">
        <v>353</v>
      </c>
      <c r="G34" s="33"/>
      <c r="H34" s="30" t="s">
        <v>383</v>
      </c>
    </row>
    <row r="35" spans="1:8">
      <c r="A35" s="18"/>
      <c r="B35" s="12" t="s">
        <v>363</v>
      </c>
      <c r="C35" s="13">
        <v>1.32399938788828</v>
      </c>
      <c r="D35" s="12" t="s">
        <v>364</v>
      </c>
      <c r="E35" s="13">
        <v>0.14</v>
      </c>
      <c r="F35" s="12" t="s">
        <v>364</v>
      </c>
      <c r="H35" s="30" t="s">
        <v>373</v>
      </c>
    </row>
    <row r="36" spans="1:8">
      <c r="A36" s="18"/>
      <c r="B36" s="12" t="s">
        <v>384</v>
      </c>
      <c r="C36" s="13">
        <f>C35*(100-C4)/100</f>
        <v>0.966784353036022</v>
      </c>
      <c r="D36" s="12" t="s">
        <v>364</v>
      </c>
      <c r="E36" s="13">
        <v>0.7</v>
      </c>
      <c r="F36" s="12" t="s">
        <v>364</v>
      </c>
      <c r="G36" s="32" t="s">
        <v>385</v>
      </c>
      <c r="H36" s="30" t="s">
        <v>373</v>
      </c>
    </row>
    <row r="37" spans="1:8">
      <c r="A37" s="18"/>
      <c r="B37" s="12" t="s">
        <v>386</v>
      </c>
      <c r="C37" s="13">
        <f>C10+(100-C8)/100*C35</f>
        <v>1.23341956846124</v>
      </c>
      <c r="D37" s="12" t="s">
        <v>364</v>
      </c>
      <c r="E37" s="13">
        <v>1.2</v>
      </c>
      <c r="F37" s="12" t="s">
        <v>364</v>
      </c>
      <c r="G37" s="32" t="s">
        <v>385</v>
      </c>
      <c r="H37" s="30" t="s">
        <v>378</v>
      </c>
    </row>
    <row r="38" spans="1:8">
      <c r="A38" s="18"/>
      <c r="B38" s="12" t="s">
        <v>387</v>
      </c>
      <c r="C38" s="13">
        <f>(100-C14)/100*C35</f>
        <v>1.13201947664448</v>
      </c>
      <c r="D38" s="12" t="s">
        <v>364</v>
      </c>
      <c r="E38" s="13">
        <v>0.98</v>
      </c>
      <c r="F38" s="12" t="s">
        <v>364</v>
      </c>
      <c r="G38" s="32" t="s">
        <v>385</v>
      </c>
      <c r="H38" s="30" t="s">
        <v>379</v>
      </c>
    </row>
    <row r="39" spans="1:8">
      <c r="A39" s="18"/>
      <c r="E39" s="13">
        <v>1.7</v>
      </c>
      <c r="F39" s="12" t="s">
        <v>364</v>
      </c>
      <c r="H39" s="30" t="s">
        <v>388</v>
      </c>
    </row>
    <row r="40" spans="1:8">
      <c r="A40" s="18"/>
      <c r="E40" s="13">
        <v>1.2</v>
      </c>
      <c r="F40" s="12" t="s">
        <v>364</v>
      </c>
      <c r="H40" s="30" t="s">
        <v>389</v>
      </c>
    </row>
    <row r="41" spans="1:8">
      <c r="A41" s="18"/>
      <c r="E41" s="13">
        <v>0.51</v>
      </c>
      <c r="F41" s="12" t="s">
        <v>364</v>
      </c>
      <c r="H41" s="30" t="s">
        <v>380</v>
      </c>
    </row>
    <row r="42" spans="1:8">
      <c r="A42" s="18"/>
      <c r="E42" s="13">
        <v>1.29</v>
      </c>
      <c r="F42" s="12" t="s">
        <v>364</v>
      </c>
      <c r="H42" s="30" t="s">
        <v>380</v>
      </c>
    </row>
    <row r="43" spans="1:8">
      <c r="A43" s="18"/>
      <c r="E43" s="13">
        <v>1.12</v>
      </c>
      <c r="F43" s="12" t="s">
        <v>364</v>
      </c>
      <c r="H43" s="30" t="s">
        <v>380</v>
      </c>
    </row>
    <row r="44" spans="1:8">
      <c r="A44" s="18"/>
      <c r="E44" s="13">
        <v>0.64</v>
      </c>
      <c r="F44" s="12" t="s">
        <v>364</v>
      </c>
      <c r="H44" s="30" t="s">
        <v>380</v>
      </c>
    </row>
    <row r="45" spans="1:8">
      <c r="A45" s="18"/>
      <c r="E45" s="13">
        <v>1.16</v>
      </c>
      <c r="F45" s="12" t="s">
        <v>364</v>
      </c>
      <c r="H45" s="30" t="s">
        <v>380</v>
      </c>
    </row>
    <row r="46" spans="1:8">
      <c r="A46" s="18"/>
      <c r="E46" s="13">
        <v>1.11</v>
      </c>
      <c r="F46" s="12" t="s">
        <v>364</v>
      </c>
      <c r="H46" s="30" t="s">
        <v>380</v>
      </c>
    </row>
    <row r="47" spans="1:8">
      <c r="A47" s="18"/>
      <c r="E47" s="13">
        <v>0.8</v>
      </c>
      <c r="F47" s="12" t="s">
        <v>364</v>
      </c>
      <c r="H47" s="30" t="s">
        <v>380</v>
      </c>
    </row>
    <row r="48" spans="1:8">
      <c r="A48" s="18"/>
      <c r="E48" s="13">
        <v>0.810271810271811</v>
      </c>
      <c r="F48" s="12" t="s">
        <v>364</v>
      </c>
      <c r="G48" s="33"/>
      <c r="H48" s="30" t="s">
        <v>381</v>
      </c>
    </row>
    <row r="49" spans="1:8">
      <c r="A49" s="18"/>
      <c r="E49" s="13">
        <v>0.671717171717172</v>
      </c>
      <c r="F49" s="12" t="s">
        <v>364</v>
      </c>
      <c r="G49" s="33"/>
      <c r="H49" s="30" t="s">
        <v>382</v>
      </c>
    </row>
    <row r="50" spans="1:8">
      <c r="A50" s="18"/>
      <c r="E50" s="13">
        <v>4.3</v>
      </c>
      <c r="F50" s="12" t="s">
        <v>364</v>
      </c>
      <c r="G50" s="33"/>
      <c r="H50" s="30" t="s">
        <v>383</v>
      </c>
    </row>
    <row r="51" spans="1:8">
      <c r="A51" s="18"/>
      <c r="E51" s="13">
        <v>3.7</v>
      </c>
      <c r="F51" s="12" t="s">
        <v>364</v>
      </c>
      <c r="G51" s="33"/>
      <c r="H51" s="30" t="s">
        <v>383</v>
      </c>
    </row>
    <row r="52" spans="1:8">
      <c r="A52" s="21"/>
      <c r="B52" s="22"/>
      <c r="C52" s="23"/>
      <c r="D52" s="22"/>
      <c r="E52" s="23">
        <v>1.8</v>
      </c>
      <c r="F52" s="22" t="s">
        <v>364</v>
      </c>
      <c r="G52" s="34"/>
      <c r="H52" s="24" t="s">
        <v>383</v>
      </c>
    </row>
  </sheetData>
  <hyperlinks>
    <hyperlink ref="H13" r:id="rId1" display="Yang, W., Liu, H., Yao, T., Cao, Q., Zhang, W. &amp; Song, J. Synergizing resource recovery and net-zero emissions in China's wastewater sector. Communications Earth &amp; Environment 7, 320, doi:https://doi.org/10.1038/s43247-026-03346-w (2026)." tooltip="https://doi.org/10.1038/s43247-026-03346-w"/>
    <hyperlink ref="H8" r:id="rId1" display="Yang, W., Liu, H., Yao, T., Cao, Q., Zhang, W. &amp; Song, J. Synergizing resource recovery and net-zero emissions in China's wastewater sector. Communications Earth &amp; Environment 7, 320, doi:https://doi.org/10.1038/s43247-026-03346-w (2026)." tooltip="https://doi.org/10.1038/s43247-026-03346-w"/>
    <hyperlink ref="H4" r:id="rId1" display="Yang, W., Liu, H., Yao, T., Cao, Q., Zhang, W. &amp; Song, J. Synergizing resource recovery and net-zero emissions in China's wastewater sector. Communications Earth &amp; Environment 7, 320, doi:https://doi.org/10.1038/s43247-026-03346-w (2026)." tooltip="https://doi.org/10.1038/s43247-026-03346-w"/>
    <hyperlink ref="H15" r:id="rId2" display="Gouveia, J., Plaza, F., Garralon, G., Fdz-Polanco, F. &amp; Peña, M. Long-term operation of a pilot scale anaerobic membrane bioreactor (AnMBR) for the treatment of municipal wastewater under psychrophilic conditions. Bioresource Technology 185, 225–233, doi:https://doi.org/10.1016/j.biortech.2015.03.002 (2015)." tooltip="https://doi.org/10.1016/j.biortech.2015.03.002"/>
    <hyperlink ref="H14" r:id="rId1" display="Yang, W., Liu, H., Yao, T., Cao, Q., Zhang, W. &amp; Song, J. Synergizing resource recovery and net-zero emissions in China's wastewater sector. Communications Earth &amp; Environment 7, 320, doi:https://doi.org/10.1038/s43247-026-03346-w (2026)." tooltip="https://doi.org/10.1038/s43247-026-03346-w"/>
    <hyperlink ref="H17" r:id="rId3" display="Kanders, L., Yang, J.-J., Baresel, C. &amp; Zambrano, J. Full-scale comparison of N₂O emissions from SBR N/DN operation versus one-stage deammonification MBBR treating reject water and optimization with pH set-point. Water Science and Technology 79, 1616–1625, doi:https://doi.org/10.2166/wst.2019.163 (2019)." tooltip="https://doi.org/10.2166/wst.2019.163"/>
    <hyperlink ref="H18" r:id="rId3" display="Kanders, L., Yang, J.-J., Baresel, C. &amp; Zambrano, J. Full-scale comparison of N₂O emissions from SBR N/DN operation versus one-stage deammonification MBBR treating reject water and optimization with pH set-point. Water Science and Technology 79, 1616–1625, doi:https://doi.org/10.2166/wst.2019.163 (2019)." tooltip="https://doi.org/10.2166/wst.2019.163"/>
    <hyperlink ref="H19" r:id="rId3" display="Kanders, L., Yang, J.-J., Baresel, C. &amp; Zambrano, J. Full-scale comparison of N₂O emissions from SBR N/DN operation versus one-stage deammonification MBBR treating reject water and optimization with pH set-point. Water Science and Technology 79, 1616–1625, doi:https://doi.org/10.2166/wst.2019.163 (2019)." tooltip="https://doi.org/10.2166/wst.2019.163"/>
    <hyperlink ref="H35" r:id="rId3" display="Kanders, L., Yang, J.-J., Baresel, C. &amp; Zambrano, J. Full-scale comparison of N₂O emissions from SBR N/DN operation versus one-stage deammonification MBBR treating reject water and optimization with pH set-point. Water Science and Technology 79, 1616–1625, doi:https://doi.org/10.2166/wst.2019.163 (2019)." tooltip="https://doi.org/10.2166/wst.2019.163"/>
    <hyperlink ref="H36" r:id="rId3" display="Kanders, L., Yang, J.-J., Baresel, C. &amp; Zambrano, J. Full-scale comparison of N₂O emissions from SBR N/DN operation versus one-stage deammonification MBBR treating reject water and optimization with pH set-point. Water Science and Technology 79, 1616–1625, doi:https://doi.org/10.2166/wst.2019.163 (2019)." tooltip="https://doi.org/10.2166/wst.2019.163"/>
    <hyperlink ref="H37" r:id="rId4" display="Hausherr, D., Niederdorfer, R., Bürgmann, H., Lehmann, M. F., Magyar, P., Mohn, J., Morgenroth, E. &amp; Joss, A. Successful year-round mainstream partial nitritation anammox: assessment of effluent quality, performance and N₂O emissions. Water Research X 16, 100145, doi:https://doi.org/10.1016/j.wroa.2022.100145 (2022)." tooltip="https://doi.org/10.1016/j.wroa.2022.100145"/>
    <hyperlink ref="H20" r:id="rId4" display="Hausherr, D., Niederdorfer, R., Bürgmann, H., Lehmann, M. F., Magyar, P., Mohn, J., Morgenroth, E. &amp; Joss, A. Successful year-round mainstream partial nitritation anammox: assessment of effluent quality, performance and N₂O emissions. Water Research X 16, 100145, doi:https://doi.org/10.1016/j.wroa.2022.100145 (2022)." tooltip="https://doi.org/10.1016/j.wroa.2022.100145"/>
    <hyperlink ref="H21" r:id="rId5" display="Chen, G., Zhang, Y., Wang, X., Chen, F., Lin, L., Ruan, Q., Wang, Y., Wang, F., Cao, W. &amp; Chiang, P. Optimizing of operation strategies of the single-stage partial nitrification-anammox process. Journal of Cleaner Production 256, 120667, doi:https://10.1016/j.jclepro.2020.120667 (2020)." tooltip="https://doi.org/10.1016/j.jclepro.2020.[%E5%BE%85%E8%A1%A5"/>
    <hyperlink ref="H38" r:id="rId5" display="Chen, G., Zhang, Y., Wang, X., Chen, F., Lin, L., Ruan, Q., Wang, Y., Wang, F., Cao, W. &amp; Chiang, P. Optimizing of operation strategies of the single-stage partial nitrification-anammox process. Journal of Cleaner Production 256, 120667, doi:https://10.1016/j.jclepro.2020.120667 (2020)." tooltip="https://doi.org/10.1016/j.jclepro.2020.[%E5%BE%85%E8%A1%A5"/>
    <hyperlink ref="H22" r:id="rId6" display="Yang, J., Trela, J., Plaza, E. &amp; Tjus, K. N₂O emissions from a one stage partial nitrification/anammox process in moving bed biofilm reactors. Water Science and Technology 68, 144–152, doi:https://doi.org/10.2166/wst.2013.232 (2013)." tooltip="https://doi.org/10.2166/wst.2013.232"/>
    <hyperlink ref="H23" r:id="rId6" display="Yang, J., Trela, J., Plaza, E. &amp; Tjus, K. N₂O emissions from a one stage partial nitrification/anammox process in moving bed biofilm reactors. Water Science and Technology 68, 144–152, doi:https://doi.org/10.2166/wst.2013.232 (2013)." tooltip="https://doi.org/10.2166/wst.2013.232"/>
    <hyperlink ref="H24" r:id="rId6" display="Yang, J., Trela, J., Plaza, E. &amp; Tjus, K. N₂O emissions from a one stage partial nitrification/anammox process in moving bed biofilm reactors. Water Science and Technology 68, 144–152, doi:https://doi.org/10.2166/wst.2013.232 (2013)." tooltip="https://doi.org/10.2166/wst.2013.232"/>
    <hyperlink ref="H25" r:id="rId6" display="Yang, J., Trela, J., Plaza, E. &amp; Tjus, K. N₂O emissions from a one stage partial nitrification/anammox process in moving bed biofilm reactors. Water Science and Technology 68, 144–152, doi:https://doi.org/10.2166/wst.2013.232 (2013)." tooltip="https://doi.org/10.2166/wst.2013.232"/>
    <hyperlink ref="H26" r:id="rId6" display="Yang, J., Trela, J., Plaza, E. &amp; Tjus, K. N₂O emissions from a one stage partial nitrification/anammox process in moving bed biofilm reactors. Water Science and Technology 68, 144–152, doi:https://doi.org/10.2166/wst.2013.232 (2013)." tooltip="https://doi.org/10.2166/wst.2013.232"/>
    <hyperlink ref="H28" r:id="rId6" display="Yang, J., Trela, J., Plaza, E. &amp; Tjus, K. N₂O emissions from a one stage partial nitrification/anammox process in moving bed biofilm reactors. Water Science and Technology 68, 144–152, doi:https://doi.org/10.2166/wst.2013.232 (2013)." tooltip="https://doi.org/10.2166/wst.2013.232"/>
    <hyperlink ref="H27" r:id="rId6" display="Yang, J., Trela, J., Plaza, E. &amp; Tjus, K. N₂O emissions from a one stage partial nitrification/anammox process in moving bed biofilm reactors. Water Science and Technology 68, 144–152, doi:https://doi.org/10.2166/wst.2013.232 (2013)." tooltip="https://doi.org/10.2166/wst.2013.232"/>
    <hyperlink ref="H29" r:id="rId6" display="Yang, J., Trela, J., Plaza, E. &amp; Tjus, K. N₂O emissions from a one stage partial nitrification/anammox process in moving bed biofilm reactors. Water Science and Technology 68, 144–152, doi:https://doi.org/10.2166/wst.2013.232 (2013)." tooltip="https://doi.org/10.2166/wst.2013.232"/>
    <hyperlink ref="H41" r:id="rId6" display="Yang, J., Trela, J., Plaza, E. &amp; Tjus, K. N₂O emissions from a one stage partial nitrification/anammox process in moving bed biofilm reactors. Water Science and Technology 68, 144–152, doi:https://doi.org/10.2166/wst.2013.232 (2013)." tooltip="https://doi.org/10.2166/wst.2013.232"/>
    <hyperlink ref="H42" r:id="rId6" display="Yang, J., Trela, J., Plaza, E. &amp; Tjus, K. N₂O emissions from a one stage partial nitrification/anammox process in moving bed biofilm reactors. Water Science and Technology 68, 144–152, doi:https://doi.org/10.2166/wst.2013.232 (2013)." tooltip="https://doi.org/10.2166/wst.2013.232"/>
    <hyperlink ref="H43" r:id="rId6" display="Yang, J., Trela, J., Plaza, E. &amp; Tjus, K. N₂O emissions from a one stage partial nitrification/anammox process in moving bed biofilm reactors. Water Science and Technology 68, 144–152, doi:https://doi.org/10.2166/wst.2013.232 (2013)." tooltip="https://doi.org/10.2166/wst.2013.232"/>
    <hyperlink ref="H45" r:id="rId6" display="Yang, J., Trela, J., Plaza, E. &amp; Tjus, K. N₂O emissions from a one stage partial nitrification/anammox process in moving bed biofilm reactors. Water Science and Technology 68, 144–152, doi:https://doi.org/10.2166/wst.2013.232 (2013)." tooltip="https://doi.org/10.2166/wst.2013.232"/>
    <hyperlink ref="H47" r:id="rId6" display="Yang, J., Trela, J., Plaza, E. &amp; Tjus, K. N₂O emissions from a one stage partial nitrification/anammox process in moving bed biofilm reactors. Water Science and Technology 68, 144–152, doi:https://doi.org/10.2166/wst.2013.232 (2013)." tooltip="https://doi.org/10.2166/wst.2013.232"/>
    <hyperlink ref="H44" r:id="rId6" display="Yang, J., Trela, J., Plaza, E. &amp; Tjus, K. N₂O emissions from a one stage partial nitrification/anammox process in moving bed biofilm reactors. Water Science and Technology 68, 144–152, doi:https://doi.org/10.2166/wst.2013.232 (2013)." tooltip="https://doi.org/10.2166/wst.2013.232"/>
    <hyperlink ref="H46" r:id="rId6" display="Yang, J., Trela, J., Plaza, E. &amp; Tjus, K. N₂O emissions from a one stage partial nitrification/anammox process in moving bed biofilm reactors. Water Science and Technology 68, 144–152, doi:https://doi.org/10.2166/wst.2013.232 (2013)." tooltip="https://doi.org/10.2166/wst.2013.232"/>
    <hyperlink ref="H12" r:id="rId2" display="Gouveia, J., Plaza, F., Garralon, G., Fdz-Polanco, F. &amp; Peña, M. Long-term operation of a pilot scale anaerobic membrane bioreactor (AnMBR) for the treatment of municipal wastewater under psychrophilic conditions. Bioresource Technology 185, 225–233, doi:https://doi.org/10.1016/j.biortech.2015.03.002 (2015)." tooltip="https://doi.org/10.1016/j.biortech.2015.03.002"/>
    <hyperlink ref="H9" r:id="rId1" display="Yang, W., Liu, H., Yao, T., Cao, Q., Zhang, W. &amp; Song, J. Synergizing resource recovery and net-zero emissions in China's wastewater sector. Communications Earth &amp; Environment 7, 320, doi:https://doi.org/10.1038/s43247-026-03346-w (2026)." tooltip="https://doi.org/10.1038/s43247-026-03346-w"/>
    <hyperlink ref="H10" r:id="rId1" display="Yang, W., Liu, H., Yao, T., Cao, Q., Zhang, W. &amp; Song, J. Synergizing resource recovery and net-zero emissions in China's wastewater sector. Communications Earth &amp; Environment 7, 320, doi:https://doi.org/10.1038/s43247-026-03346-w (2026)." tooltip="https://doi.org/10.1038/s43247-026-03346-w"/>
    <hyperlink ref="H30" r:id="rId7" display="Castro-Barros, C. M., Daelman, M. R. J., Mampaey, K. E., van Loosdrecht, M. C. M. &amp; Volcke, E. I. P. Effect of aeration regime on N₂O emission from partial nitritation-anammox in a full-scale granular sludge reactor. Water Research 68, 793–803, doi:https://doi.org/10.1016/j.watres.2014.10.056 (2015)." tooltip="https://doi.org/10.1016/j.watres.2014.10.056"/>
    <hyperlink ref="H31" r:id="rId8" display="Fenu, A., Smolders, S., De Gussem, K. &amp; Weemaes, M. Conflicting carbon footprint and energy saving in a side-stream Anammox process. Biochemical Engineering Journal 151, 107336, doi:https://doi.org/10.1016/j.bej.2019.107336 (2019)." tooltip="https://doi.org/10.1016/j.bej.2019.107336"/>
    <hyperlink ref="H32" r:id="rId9" display="Schoepp, T., Bousek, J., Beqaj, A., Fiedler, C., Wett, B., Fuchs, W., Ertl, T. &amp; Weissenbacher, N. Nitrous oxide emissions of a mesh separated single stage deammonification reactor. Water Science and Technology 78, 2239–2246, doi:https://doi.org/10.2166/wst.2018.500 (2018)." tooltip="https://doi.org/10.2166/wst.2018.500"/>
    <hyperlink ref="H33" r:id="rId9" display="Schoepp, T., Bousek, J., Beqaj, A., Fiedler, C., Wett, B., Fuchs, W., Ertl, T. &amp; Weissenbacher, N. Nitrous oxide emissions of a mesh separated single stage deammonification reactor. Water Science and Technology 78, 2239–2246, doi:https://doi.org/10.2166/wst.2018.500 (2018)." tooltip="https://doi.org/10.2166/wst.2018.500"/>
    <hyperlink ref="H34" r:id="rId9" display="Schoepp, T., Bousek, J., Beqaj, A., Fiedler, C., Wett, B., Fuchs, W., Ertl, T. &amp; Weissenbacher, N. Nitrous oxide emissions of a mesh separated single stage deammonification reactor. Water Science and Technology 78, 2239–2246, doi:https://doi.org/10.2166/wst.2018.500 (2018)." tooltip="https://doi.org/10.2166/wst.2018.500"/>
    <hyperlink ref="H48" r:id="rId7" display="Castro-Barros, C. M., Daelman, M. R. J., Mampaey, K. E., van Loosdrecht, M. C. M. &amp; Volcke, E. I. P. Effect of aeration regime on N₂O emission from partial nitritation-anammox in a full-scale granular sludge reactor. Water Research 68, 793–803, doi:https://doi.org/10.1016/j.watres.2014.10.056 (2015)." tooltip="https://doi.org/10.1016/j.watres.2014.10.056"/>
    <hyperlink ref="H49" r:id="rId8" display="Fenu, A., Smolders, S., De Gussem, K. &amp; Weemaes, M. Conflicting carbon footprint and energy saving in a side-stream Anammox process. Biochemical Engineering Journal 151, 107336, doi:https://doi.org/10.1016/j.bej.2019.107336 (2019)." tooltip="https://doi.org/10.1016/j.bej.2019.107336"/>
    <hyperlink ref="H50" r:id="rId9" display="Schoepp, T., Bousek, J., Beqaj, A., Fiedler, C., Wett, B., Fuchs, W., Ertl, T. &amp; Weissenbacher, N. Nitrous oxide emissions of a mesh separated single stage deammonification reactor. Water Science and Technology 78, 2239–2246, doi:https://doi.org/10.2166/wst.2018.500 (2018)." tooltip="https://doi.org/10.2166/wst.2018.500"/>
    <hyperlink ref="H51" r:id="rId9" display="Schoepp, T., Bousek, J., Beqaj, A., Fiedler, C., Wett, B., Fuchs, W., Ertl, T. &amp; Weissenbacher, N. Nitrous oxide emissions of a mesh separated single stage deammonification reactor. Water Science and Technology 78, 2239–2246, doi:https://doi.org/10.2166/wst.2018.500 (2018)." tooltip="https://doi.org/10.2166/wst.2018.500"/>
    <hyperlink ref="H52" r:id="rId9" display="Schoepp, T., Bousek, J., Beqaj, A., Fiedler, C., Wett, B., Fuchs, W., Ertl, T. &amp; Weissenbacher, N. Nitrous oxide emissions of a mesh separated single stage deammonification reactor. Water Science and Technology 78, 2239–2246, doi:https://doi.org/10.2166/wst.2018.500 (2018)." tooltip="https://doi.org/10.2166/wst.2018.500"/>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
  <sheetViews>
    <sheetView workbookViewId="0">
      <selection activeCell="D39" sqref="D39"/>
    </sheetView>
  </sheetViews>
  <sheetFormatPr defaultColWidth="9" defaultRowHeight="15" outlineLevelCol="3"/>
  <cols>
    <col min="1" max="1" width="11.375" style="7" customWidth="1"/>
    <col min="2" max="2" width="7.625" style="8" customWidth="1"/>
    <col min="3" max="3" width="19.125" style="8" customWidth="1"/>
    <col min="4" max="4" width="255.625" style="7" customWidth="1"/>
    <col min="5" max="16384" width="9" style="3"/>
  </cols>
  <sheetData>
    <row r="1" spans="1:4">
      <c r="A1" s="9" t="s">
        <v>41</v>
      </c>
      <c r="B1" s="10" t="s">
        <v>85</v>
      </c>
      <c r="C1" s="10" t="s">
        <v>87</v>
      </c>
      <c r="D1" s="9" t="s">
        <v>57</v>
      </c>
    </row>
    <row r="2" spans="1:4">
      <c r="A2" s="7" t="s">
        <v>117</v>
      </c>
      <c r="B2" s="8">
        <v>45</v>
      </c>
      <c r="C2" s="8">
        <v>38</v>
      </c>
      <c r="D2" s="11" t="s">
        <v>111</v>
      </c>
    </row>
    <row r="3" spans="1:4">
      <c r="A3" s="7" t="s">
        <v>390</v>
      </c>
      <c r="B3" s="8">
        <v>31.244</v>
      </c>
      <c r="C3" s="8">
        <v>17.885</v>
      </c>
      <c r="D3" s="11" t="s">
        <v>215</v>
      </c>
    </row>
    <row r="4" spans="1:4">
      <c r="A4" s="7" t="s">
        <v>390</v>
      </c>
      <c r="B4" s="8">
        <v>44</v>
      </c>
      <c r="C4" s="8">
        <v>28.1</v>
      </c>
      <c r="D4" s="11" t="s">
        <v>216</v>
      </c>
    </row>
    <row r="5" spans="1:4">
      <c r="A5" s="7" t="s">
        <v>390</v>
      </c>
      <c r="B5" s="8">
        <v>44</v>
      </c>
      <c r="C5" s="8">
        <v>16.305</v>
      </c>
      <c r="D5" s="11" t="s">
        <v>216</v>
      </c>
    </row>
    <row r="6" spans="1:4">
      <c r="A6" s="7" t="s">
        <v>112</v>
      </c>
      <c r="B6" s="8">
        <v>9.1</v>
      </c>
      <c r="C6" s="8">
        <v>7.28571428571428</v>
      </c>
      <c r="D6" s="11" t="s">
        <v>219</v>
      </c>
    </row>
    <row r="7" spans="1:4">
      <c r="A7" s="7" t="s">
        <v>112</v>
      </c>
      <c r="B7" s="8">
        <v>15.5</v>
      </c>
      <c r="C7" s="8">
        <v>13.2285714285714</v>
      </c>
      <c r="D7" s="11" t="s">
        <v>219</v>
      </c>
    </row>
    <row r="8" spans="1:4">
      <c r="A8" s="7" t="s">
        <v>112</v>
      </c>
      <c r="B8" s="8">
        <v>15.9</v>
      </c>
      <c r="C8" s="8">
        <v>9.74285714285715</v>
      </c>
      <c r="D8" s="11" t="s">
        <v>219</v>
      </c>
    </row>
    <row r="9" spans="1:4">
      <c r="A9" s="7" t="s">
        <v>112</v>
      </c>
      <c r="B9" s="8">
        <v>23.8</v>
      </c>
      <c r="C9" s="8">
        <v>12.2285714285714</v>
      </c>
      <c r="D9" s="11" t="s">
        <v>219</v>
      </c>
    </row>
    <row r="10" spans="1:4">
      <c r="A10" s="7" t="s">
        <v>112</v>
      </c>
      <c r="B10" s="8">
        <v>14.8</v>
      </c>
      <c r="C10" s="8">
        <v>13.8571428571429</v>
      </c>
      <c r="D10" s="11" t="s">
        <v>219</v>
      </c>
    </row>
    <row r="11" spans="1:4">
      <c r="A11" s="7" t="s">
        <v>112</v>
      </c>
      <c r="B11" s="8">
        <v>16</v>
      </c>
      <c r="C11" s="8">
        <v>12.2285714285714</v>
      </c>
      <c r="D11" s="11" t="s">
        <v>219</v>
      </c>
    </row>
    <row r="12" spans="1:4">
      <c r="A12" s="7" t="s">
        <v>112</v>
      </c>
      <c r="B12" s="8">
        <v>16</v>
      </c>
      <c r="C12" s="8">
        <v>7.42857142857143</v>
      </c>
      <c r="D12" s="11" t="s">
        <v>219</v>
      </c>
    </row>
    <row r="13" spans="1:4">
      <c r="A13" s="7" t="s">
        <v>391</v>
      </c>
      <c r="B13" s="8">
        <v>48</v>
      </c>
      <c r="C13" s="8">
        <v>7</v>
      </c>
      <c r="D13" s="11" t="s">
        <v>221</v>
      </c>
    </row>
    <row r="14" spans="1:4">
      <c r="A14" s="7" t="s">
        <v>117</v>
      </c>
      <c r="B14" s="8">
        <v>49.5</v>
      </c>
      <c r="C14" s="8">
        <v>37.9</v>
      </c>
      <c r="D14" s="11" t="s">
        <v>116</v>
      </c>
    </row>
    <row r="15" spans="1:4">
      <c r="A15" s="7" t="s">
        <v>112</v>
      </c>
      <c r="B15" s="8">
        <v>62</v>
      </c>
      <c r="C15" s="8">
        <v>50.4</v>
      </c>
      <c r="D15" s="11" t="s">
        <v>116</v>
      </c>
    </row>
    <row r="16" spans="1:4">
      <c r="A16" s="7" t="s">
        <v>392</v>
      </c>
      <c r="B16" s="8">
        <v>31.244</v>
      </c>
      <c r="C16" s="8">
        <v>17.885</v>
      </c>
      <c r="D16" s="11" t="s">
        <v>222</v>
      </c>
    </row>
    <row r="17" spans="1:4">
      <c r="A17" s="7" t="s">
        <v>108</v>
      </c>
      <c r="B17" s="8">
        <v>33</v>
      </c>
      <c r="C17" s="8">
        <v>19.65</v>
      </c>
      <c r="D17" s="7" t="s">
        <v>121</v>
      </c>
    </row>
    <row r="18" spans="1:4">
      <c r="A18" s="7" t="s">
        <v>390</v>
      </c>
      <c r="B18" s="8">
        <v>31.09</v>
      </c>
      <c r="C18" s="8">
        <v>28.13</v>
      </c>
      <c r="D18" s="3" t="s">
        <v>128</v>
      </c>
    </row>
    <row r="19" spans="1:4">
      <c r="A19" s="7" t="s">
        <v>112</v>
      </c>
      <c r="B19" s="8">
        <v>54</v>
      </c>
      <c r="C19" s="8">
        <v>35</v>
      </c>
      <c r="D19" s="11" t="s">
        <v>242</v>
      </c>
    </row>
    <row r="20" spans="1:4">
      <c r="A20" s="7" t="s">
        <v>393</v>
      </c>
      <c r="B20" s="8">
        <v>29.8</v>
      </c>
      <c r="C20" s="8">
        <v>14.5</v>
      </c>
      <c r="D20" s="11" t="s">
        <v>268</v>
      </c>
    </row>
    <row r="21" spans="1:4">
      <c r="A21" s="7" t="s">
        <v>393</v>
      </c>
      <c r="B21" s="8">
        <v>33.9</v>
      </c>
      <c r="C21" s="8">
        <v>19</v>
      </c>
      <c r="D21" s="11" t="s">
        <v>268</v>
      </c>
    </row>
    <row r="22" spans="1:4">
      <c r="A22" s="7" t="s">
        <v>393</v>
      </c>
      <c r="B22" s="8">
        <v>36</v>
      </c>
      <c r="C22" s="8">
        <v>21</v>
      </c>
      <c r="D22" s="11" t="s">
        <v>268</v>
      </c>
    </row>
    <row r="23" spans="1:4">
      <c r="A23" s="7" t="s">
        <v>394</v>
      </c>
      <c r="B23" s="8">
        <v>22.26</v>
      </c>
      <c r="C23" s="8">
        <v>20.45</v>
      </c>
      <c r="D23" s="11" t="s">
        <v>271</v>
      </c>
    </row>
    <row r="24" spans="1:4">
      <c r="A24" s="7" t="s">
        <v>394</v>
      </c>
      <c r="B24" s="8">
        <v>27.4</v>
      </c>
      <c r="C24" s="8">
        <v>26.37</v>
      </c>
      <c r="D24" s="11" t="s">
        <v>271</v>
      </c>
    </row>
    <row r="25" spans="1:4">
      <c r="A25" s="7" t="s">
        <v>394</v>
      </c>
      <c r="B25" s="8">
        <v>25.86</v>
      </c>
      <c r="C25" s="8">
        <v>23.47</v>
      </c>
      <c r="D25" s="11" t="s">
        <v>271</v>
      </c>
    </row>
    <row r="26" spans="1:4">
      <c r="A26" s="7" t="s">
        <v>390</v>
      </c>
      <c r="B26" s="8">
        <v>50</v>
      </c>
      <c r="C26" s="8">
        <v>33</v>
      </c>
      <c r="D26" s="11" t="s">
        <v>284</v>
      </c>
    </row>
    <row r="27" spans="1:4">
      <c r="A27" s="7" t="s">
        <v>154</v>
      </c>
      <c r="B27" s="8">
        <v>19.1</v>
      </c>
      <c r="C27" s="8">
        <v>15.25</v>
      </c>
      <c r="D27" s="11" t="s">
        <v>165</v>
      </c>
    </row>
    <row r="28" spans="1:4">
      <c r="A28" s="7" t="s">
        <v>393</v>
      </c>
      <c r="B28" s="8">
        <v>35.3</v>
      </c>
      <c r="C28" s="8">
        <v>14.895</v>
      </c>
      <c r="D28" s="11" t="s">
        <v>165</v>
      </c>
    </row>
    <row r="29" spans="1:4">
      <c r="A29" s="7" t="s">
        <v>393</v>
      </c>
      <c r="B29" s="8">
        <v>42.5</v>
      </c>
      <c r="C29" s="8">
        <v>25.5333333333333</v>
      </c>
      <c r="D29" s="11" t="s">
        <v>165</v>
      </c>
    </row>
    <row r="30" spans="1:4">
      <c r="A30" s="7" t="s">
        <v>395</v>
      </c>
      <c r="B30" s="8">
        <v>64</v>
      </c>
      <c r="C30" s="8">
        <v>47.4</v>
      </c>
      <c r="D30" s="11" t="s">
        <v>299</v>
      </c>
    </row>
    <row r="31" spans="1:4">
      <c r="A31" s="7" t="s">
        <v>136</v>
      </c>
      <c r="B31" s="8">
        <v>43</v>
      </c>
      <c r="C31" s="8">
        <v>25.2</v>
      </c>
      <c r="D31" s="11" t="s">
        <v>181</v>
      </c>
    </row>
    <row r="32" spans="1:4">
      <c r="A32" s="7" t="s">
        <v>154</v>
      </c>
      <c r="B32" s="8">
        <v>54.7</v>
      </c>
      <c r="C32" s="8">
        <v>47.4</v>
      </c>
      <c r="D32" s="11" t="s">
        <v>183</v>
      </c>
    </row>
    <row r="33" spans="1:4">
      <c r="A33" s="7" t="s">
        <v>137</v>
      </c>
      <c r="B33" s="8">
        <v>43</v>
      </c>
      <c r="C33" s="8">
        <v>25.8</v>
      </c>
      <c r="D33" s="11" t="s">
        <v>305</v>
      </c>
    </row>
    <row r="34" spans="1:4">
      <c r="A34" s="7" t="s">
        <v>393</v>
      </c>
      <c r="B34" s="8">
        <v>61.6</v>
      </c>
      <c r="C34" s="8">
        <v>47.9</v>
      </c>
      <c r="D34" s="11" t="s">
        <v>187</v>
      </c>
    </row>
    <row r="35" spans="1:4">
      <c r="A35" s="7" t="s">
        <v>112</v>
      </c>
      <c r="B35" s="8">
        <v>69</v>
      </c>
      <c r="C35" s="8">
        <v>38.7</v>
      </c>
      <c r="D35" s="11" t="s">
        <v>307</v>
      </c>
    </row>
    <row r="36" spans="1:4">
      <c r="A36" s="7" t="s">
        <v>184</v>
      </c>
      <c r="B36" s="8">
        <v>28.6</v>
      </c>
      <c r="C36" s="8">
        <v>25.1</v>
      </c>
      <c r="D36" s="11" t="s">
        <v>314</v>
      </c>
    </row>
    <row r="37" spans="1:4">
      <c r="A37" s="7" t="s">
        <v>117</v>
      </c>
      <c r="B37" s="8">
        <v>46.13</v>
      </c>
      <c r="C37" s="8">
        <v>33.63</v>
      </c>
      <c r="D37" s="11" t="s">
        <v>317</v>
      </c>
    </row>
    <row r="38" spans="1:4">
      <c r="A38" s="7" t="s">
        <v>390</v>
      </c>
      <c r="B38" s="8">
        <v>62.9</v>
      </c>
      <c r="C38" s="8">
        <v>35.6</v>
      </c>
      <c r="D38" s="11" t="s">
        <v>336</v>
      </c>
    </row>
    <row r="39" spans="1:4">
      <c r="A39" s="7" t="s">
        <v>390</v>
      </c>
      <c r="B39" s="8">
        <v>62.9</v>
      </c>
      <c r="C39" s="8">
        <v>40</v>
      </c>
      <c r="D39" s="11" t="s">
        <v>336</v>
      </c>
    </row>
    <row r="40" spans="1:4">
      <c r="A40" s="7" t="s">
        <v>108</v>
      </c>
      <c r="B40" s="8">
        <v>43.5</v>
      </c>
      <c r="C40" s="8">
        <v>30.6</v>
      </c>
      <c r="D40" s="11" t="s">
        <v>336</v>
      </c>
    </row>
    <row r="41" spans="1:4">
      <c r="A41" s="7" t="s">
        <v>396</v>
      </c>
      <c r="B41" s="8">
        <v>46.9</v>
      </c>
      <c r="C41" s="8">
        <v>37.5</v>
      </c>
      <c r="D41" s="11" t="s">
        <v>336</v>
      </c>
    </row>
    <row r="42" spans="1:4">
      <c r="A42" s="7" t="s">
        <v>396</v>
      </c>
      <c r="B42" s="8">
        <v>46.9</v>
      </c>
      <c r="C42" s="8">
        <v>37.4</v>
      </c>
      <c r="D42" s="11" t="s">
        <v>336</v>
      </c>
    </row>
    <row r="43" spans="1:4">
      <c r="A43" s="7" t="s">
        <v>136</v>
      </c>
      <c r="B43" s="8">
        <v>44.5</v>
      </c>
      <c r="C43" s="8">
        <v>42.2</v>
      </c>
      <c r="D43" s="11" t="s">
        <v>334</v>
      </c>
    </row>
    <row r="44" spans="1:4">
      <c r="A44" s="7" t="s">
        <v>154</v>
      </c>
      <c r="B44" s="8">
        <v>48.2</v>
      </c>
      <c r="C44" s="8">
        <v>36.1</v>
      </c>
      <c r="D44" s="11" t="s">
        <v>201</v>
      </c>
    </row>
    <row r="45" spans="1:4">
      <c r="A45" s="7" t="s">
        <v>136</v>
      </c>
      <c r="B45" s="8">
        <v>16.2603</v>
      </c>
      <c r="C45" s="8">
        <v>2.995</v>
      </c>
      <c r="D45" s="11" t="s">
        <v>340</v>
      </c>
    </row>
    <row r="46" spans="1:4">
      <c r="A46" s="7" t="s">
        <v>139</v>
      </c>
      <c r="B46" s="8">
        <v>33.7</v>
      </c>
      <c r="C46" s="8">
        <v>21.8</v>
      </c>
      <c r="D46" s="11" t="s">
        <v>342</v>
      </c>
    </row>
    <row r="47" spans="1:4">
      <c r="A47" s="7" t="s">
        <v>139</v>
      </c>
      <c r="B47" s="8">
        <v>34.5</v>
      </c>
      <c r="C47" s="8">
        <v>29.7</v>
      </c>
      <c r="D47" s="11" t="s">
        <v>342</v>
      </c>
    </row>
    <row r="48" spans="1:4">
      <c r="A48" s="7" t="s">
        <v>154</v>
      </c>
      <c r="B48" s="8">
        <v>73.4</v>
      </c>
      <c r="C48" s="8">
        <v>65.05</v>
      </c>
      <c r="D48" s="11" t="s">
        <v>207</v>
      </c>
    </row>
    <row r="49" spans="1:4">
      <c r="A49" s="7" t="s">
        <v>390</v>
      </c>
      <c r="B49" s="8">
        <v>69.55</v>
      </c>
      <c r="C49" s="8">
        <v>65.05</v>
      </c>
      <c r="D49" s="11" t="s">
        <v>207</v>
      </c>
    </row>
  </sheetData>
  <hyperlinks>
    <hyperlink ref="D17" r:id="rId1" display="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 tooltip="https://doi.org/10.2175/193864710798181584"/>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37"/>
  <sheetViews>
    <sheetView workbookViewId="0">
      <selection activeCell="E18" sqref="E18"/>
    </sheetView>
  </sheetViews>
  <sheetFormatPr defaultColWidth="9" defaultRowHeight="15" outlineLevelCol="6"/>
  <cols>
    <col min="1" max="1" width="13.75" style="1" customWidth="1"/>
    <col min="2" max="2" width="19.125" style="2" customWidth="1"/>
    <col min="3" max="3" width="12.875" style="2" customWidth="1"/>
    <col min="4" max="4" width="13.625" style="1" customWidth="1"/>
    <col min="5" max="5" width="13.375" style="2" customWidth="1"/>
    <col min="6" max="6" width="13.25" style="2" customWidth="1"/>
    <col min="7" max="7" width="34.625" style="1" customWidth="1"/>
  </cols>
  <sheetData>
    <row r="1" ht="14.25" spans="1:7">
      <c r="A1" s="4" t="s">
        <v>397</v>
      </c>
      <c r="B1" s="5" t="s">
        <v>90</v>
      </c>
      <c r="C1" s="5" t="s">
        <v>398</v>
      </c>
      <c r="D1" s="4" t="s">
        <v>92</v>
      </c>
      <c r="E1" s="5" t="s">
        <v>94</v>
      </c>
      <c r="F1" s="5" t="s">
        <v>96</v>
      </c>
      <c r="G1" s="6" t="s">
        <v>98</v>
      </c>
    </row>
    <row r="2" spans="1:7">
      <c r="A2" s="1" t="s">
        <v>108</v>
      </c>
      <c r="B2" s="2">
        <v>0.00402877697841727</v>
      </c>
      <c r="C2" s="2">
        <v>0.00402877697841727</v>
      </c>
      <c r="D2" s="1" t="s">
        <v>399</v>
      </c>
      <c r="E2" s="2">
        <v>-0.0456947399741462</v>
      </c>
      <c r="F2" s="2">
        <v>0.0952044308707162</v>
      </c>
    </row>
    <row r="3" spans="1:7">
      <c r="A3" s="1" t="s">
        <v>112</v>
      </c>
      <c r="B3" s="2">
        <v>0.00436869140414526</v>
      </c>
      <c r="C3" s="2">
        <v>0.00436869140414526</v>
      </c>
      <c r="D3" s="1" t="s">
        <v>399</v>
      </c>
      <c r="E3" s="2">
        <v>-0.0263391357448184</v>
      </c>
      <c r="F3" s="2">
        <v>0.0657234814468911</v>
      </c>
    </row>
    <row r="4" spans="1:7">
      <c r="A4" s="1" t="s">
        <v>117</v>
      </c>
      <c r="B4" s="2">
        <v>0.00142857142857143</v>
      </c>
      <c r="C4" s="2">
        <v>0.00142857142857143</v>
      </c>
      <c r="D4" s="1" t="s">
        <v>399</v>
      </c>
      <c r="E4" s="2">
        <v>-0.0463423350789439</v>
      </c>
      <c r="F4" s="2">
        <v>0.0819725902109383</v>
      </c>
    </row>
    <row r="5" spans="1:7">
      <c r="A5" s="1" t="s">
        <v>108</v>
      </c>
      <c r="B5" s="2">
        <v>0.0121044456350834</v>
      </c>
      <c r="C5" s="2">
        <v>0.0121044456350834</v>
      </c>
      <c r="D5" s="1" t="s">
        <v>399</v>
      </c>
      <c r="E5" s="2">
        <v>-0.0456947399741462</v>
      </c>
      <c r="F5" s="2">
        <v>0.0952044308707162</v>
      </c>
    </row>
    <row r="6" spans="1:7">
      <c r="A6" s="1" t="s">
        <v>108</v>
      </c>
      <c r="B6" s="2">
        <v>0.00251539591246751</v>
      </c>
      <c r="C6" s="2">
        <v>0.00251539591246751</v>
      </c>
      <c r="D6" s="1" t="s">
        <v>399</v>
      </c>
      <c r="E6" s="2">
        <v>-0.0456947399741462</v>
      </c>
      <c r="F6" s="2">
        <v>0.0952044308707162</v>
      </c>
    </row>
    <row r="7" spans="1:7">
      <c r="A7" s="1" t="s">
        <v>108</v>
      </c>
      <c r="B7" s="2">
        <v>0.00824797024104871</v>
      </c>
      <c r="C7" s="2">
        <v>0.00824797024104871</v>
      </c>
      <c r="D7" s="1" t="s">
        <v>399</v>
      </c>
      <c r="E7" s="2">
        <v>-0.0456947399741462</v>
      </c>
      <c r="F7" s="2">
        <v>0.0952044308707162</v>
      </c>
    </row>
    <row r="8" spans="1:7">
      <c r="A8" s="1" t="s">
        <v>108</v>
      </c>
      <c r="B8" s="2">
        <v>0.003936</v>
      </c>
      <c r="C8" s="2">
        <v>0.003936</v>
      </c>
      <c r="D8" s="1" t="s">
        <v>399</v>
      </c>
      <c r="E8" s="2">
        <v>-0.0456947399741462</v>
      </c>
      <c r="F8" s="2">
        <v>0.0952044308707162</v>
      </c>
    </row>
    <row r="9" spans="1:7">
      <c r="A9" s="1" t="s">
        <v>108</v>
      </c>
      <c r="B9" s="2">
        <v>0.00564</v>
      </c>
      <c r="C9" s="2">
        <v>0.00564</v>
      </c>
      <c r="D9" s="1" t="s">
        <v>399</v>
      </c>
      <c r="E9" s="2">
        <v>-0.0456947399741462</v>
      </c>
      <c r="F9" s="2">
        <v>0.0952044308707162</v>
      </c>
    </row>
    <row r="10" spans="1:7">
      <c r="A10" s="1" t="s">
        <v>126</v>
      </c>
      <c r="B10" s="2">
        <v>0.0059616</v>
      </c>
      <c r="C10" s="2">
        <v>0.0059616</v>
      </c>
      <c r="D10" s="1" t="s">
        <v>399</v>
      </c>
      <c r="E10" s="2">
        <v>-0.0523367825301163</v>
      </c>
      <c r="F10" s="2">
        <v>0.103637660526783</v>
      </c>
    </row>
    <row r="11" spans="1:7">
      <c r="A11" s="1" t="s">
        <v>126</v>
      </c>
      <c r="B11" s="2">
        <v>0.02052</v>
      </c>
      <c r="C11" s="2">
        <v>0.02052</v>
      </c>
      <c r="D11" s="1" t="s">
        <v>399</v>
      </c>
      <c r="E11" s="2">
        <v>-0.0523367825301163</v>
      </c>
      <c r="F11" s="2">
        <v>0.103637660526783</v>
      </c>
    </row>
    <row r="12" spans="1:7">
      <c r="A12" s="1" t="s">
        <v>108</v>
      </c>
      <c r="B12" s="2">
        <v>0.00102441929720071</v>
      </c>
      <c r="C12" s="2">
        <v>0.00102441929720071</v>
      </c>
      <c r="D12" s="1" t="s">
        <v>399</v>
      </c>
      <c r="E12" s="2">
        <v>-0.0456947399741462</v>
      </c>
      <c r="F12" s="2">
        <v>0.0952044308707162</v>
      </c>
    </row>
    <row r="13" spans="1:7">
      <c r="A13" s="1" t="s">
        <v>108</v>
      </c>
      <c r="B13" s="2">
        <v>0.00235616438356164</v>
      </c>
      <c r="C13" s="2">
        <v>0.00235616438356164</v>
      </c>
      <c r="D13" s="1" t="s">
        <v>399</v>
      </c>
      <c r="E13" s="2">
        <v>-0.0456947399741462</v>
      </c>
      <c r="F13" s="2">
        <v>0.0952044308707162</v>
      </c>
    </row>
    <row r="14" spans="1:7">
      <c r="A14" s="1" t="s">
        <v>108</v>
      </c>
      <c r="B14" s="2">
        <v>0.02712</v>
      </c>
      <c r="C14" s="2">
        <v>0.02712</v>
      </c>
      <c r="D14" s="1" t="s">
        <v>399</v>
      </c>
      <c r="E14" s="2">
        <v>-0.0456947399741462</v>
      </c>
      <c r="F14" s="2">
        <v>0.0952044308707162</v>
      </c>
    </row>
    <row r="15" spans="1:7">
      <c r="A15" s="1" t="s">
        <v>108</v>
      </c>
      <c r="B15" s="2">
        <v>0.0264</v>
      </c>
      <c r="C15" s="2">
        <v>0.0264</v>
      </c>
      <c r="D15" s="1" t="s">
        <v>399</v>
      </c>
      <c r="E15" s="2">
        <v>-0.0456947399741462</v>
      </c>
      <c r="F15" s="2">
        <v>0.0952044308707162</v>
      </c>
    </row>
    <row r="16" spans="1:7">
      <c r="A16" s="1" t="s">
        <v>112</v>
      </c>
      <c r="B16" s="2">
        <v>0.036</v>
      </c>
      <c r="C16" s="2">
        <v>0.036</v>
      </c>
      <c r="D16" s="1" t="s">
        <v>399</v>
      </c>
      <c r="E16" s="2">
        <v>-0.0263391357448184</v>
      </c>
      <c r="F16" s="2">
        <v>0.0657234814468911</v>
      </c>
    </row>
    <row r="17" spans="1:6">
      <c r="A17" s="1" t="s">
        <v>112</v>
      </c>
      <c r="B17" s="2">
        <v>0.0192</v>
      </c>
      <c r="C17" s="2">
        <v>0.0192</v>
      </c>
      <c r="D17" s="1" t="s">
        <v>399</v>
      </c>
      <c r="E17" s="2">
        <v>-0.0263391357448184</v>
      </c>
      <c r="F17" s="2">
        <v>0.0657234814468911</v>
      </c>
    </row>
    <row r="18" spans="1:6">
      <c r="A18" s="1" t="s">
        <v>112</v>
      </c>
      <c r="B18" s="2">
        <v>0.012</v>
      </c>
      <c r="C18" s="2">
        <v>0.012</v>
      </c>
      <c r="D18" s="1" t="s">
        <v>399</v>
      </c>
      <c r="E18" s="2">
        <v>-0.0263391357448184</v>
      </c>
      <c r="F18" s="2">
        <v>0.0657234814468911</v>
      </c>
    </row>
    <row r="19" spans="1:6">
      <c r="A19" s="1" t="s">
        <v>112</v>
      </c>
      <c r="B19" s="2">
        <v>0.0264</v>
      </c>
      <c r="C19" s="2">
        <v>0.0264</v>
      </c>
      <c r="D19" s="1" t="s">
        <v>399</v>
      </c>
      <c r="E19" s="2">
        <v>-0.0263391357448184</v>
      </c>
      <c r="F19" s="2">
        <v>0.0657234814468911</v>
      </c>
    </row>
    <row r="20" spans="1:6">
      <c r="A20" s="1" t="s">
        <v>136</v>
      </c>
      <c r="B20" s="2">
        <v>0.0192</v>
      </c>
      <c r="C20" s="2">
        <v>0.0192</v>
      </c>
      <c r="D20" s="1" t="s">
        <v>399</v>
      </c>
      <c r="E20" s="2">
        <v>-0.0158327814218132</v>
      </c>
      <c r="F20" s="2">
        <v>0.0478996688530879</v>
      </c>
    </row>
    <row r="21" spans="1:6">
      <c r="A21" s="1" t="s">
        <v>136</v>
      </c>
      <c r="B21" s="2">
        <v>0.0096</v>
      </c>
      <c r="C21" s="2">
        <v>0.0096</v>
      </c>
      <c r="D21" s="1" t="s">
        <v>399</v>
      </c>
      <c r="E21" s="2">
        <v>-0.0158327814218132</v>
      </c>
      <c r="F21" s="2">
        <v>0.0478996688530879</v>
      </c>
    </row>
    <row r="22" spans="1:6">
      <c r="A22" s="1" t="s">
        <v>136</v>
      </c>
      <c r="B22" s="2">
        <v>0.0048</v>
      </c>
      <c r="C22" s="2">
        <v>0.0048</v>
      </c>
      <c r="D22" s="1" t="s">
        <v>399</v>
      </c>
      <c r="E22" s="2">
        <v>-0.0158327814218132</v>
      </c>
      <c r="F22" s="2">
        <v>0.0478996688530879</v>
      </c>
    </row>
    <row r="23" spans="1:6">
      <c r="A23" s="1" t="s">
        <v>136</v>
      </c>
      <c r="B23" s="2">
        <v>0.0048</v>
      </c>
      <c r="C23" s="2">
        <v>0.0048</v>
      </c>
      <c r="D23" s="1" t="s">
        <v>399</v>
      </c>
      <c r="E23" s="2">
        <v>-0.0158327814218132</v>
      </c>
      <c r="F23" s="2">
        <v>0.0478996688530879</v>
      </c>
    </row>
    <row r="24" spans="1:6">
      <c r="A24" s="1" t="s">
        <v>108</v>
      </c>
      <c r="B24" s="2">
        <v>0.0408</v>
      </c>
      <c r="C24" s="2">
        <v>0.0408</v>
      </c>
      <c r="D24" s="1" t="s">
        <v>399</v>
      </c>
      <c r="E24" s="2">
        <v>-0.0456947399741462</v>
      </c>
      <c r="F24" s="2">
        <v>0.0952044308707162</v>
      </c>
    </row>
    <row r="25" spans="1:6">
      <c r="A25" s="1" t="s">
        <v>108</v>
      </c>
      <c r="B25" s="2">
        <v>0.0216</v>
      </c>
      <c r="C25" s="2">
        <v>0.0216</v>
      </c>
      <c r="D25" s="1" t="s">
        <v>399</v>
      </c>
      <c r="E25" s="2">
        <v>-0.0456947399741462</v>
      </c>
      <c r="F25" s="2">
        <v>0.0952044308707162</v>
      </c>
    </row>
    <row r="26" spans="1:6">
      <c r="A26" s="1" t="s">
        <v>108</v>
      </c>
      <c r="B26" s="2">
        <v>0.0288</v>
      </c>
      <c r="C26" s="2">
        <v>0.0288</v>
      </c>
      <c r="D26" s="1" t="s">
        <v>399</v>
      </c>
      <c r="E26" s="2">
        <v>-0.0456947399741462</v>
      </c>
      <c r="F26" s="2">
        <v>0.0952044308707162</v>
      </c>
    </row>
    <row r="27" spans="1:6">
      <c r="A27" s="1" t="s">
        <v>136</v>
      </c>
      <c r="B27" s="2">
        <v>0.0768</v>
      </c>
      <c r="C27" s="2">
        <v>0.0768</v>
      </c>
      <c r="D27" s="1" t="s">
        <v>400</v>
      </c>
      <c r="E27" s="2">
        <v>-0.0158327814218132</v>
      </c>
      <c r="F27" s="2">
        <v>0.0478996688530879</v>
      </c>
    </row>
    <row r="28" spans="1:6">
      <c r="A28" s="1" t="s">
        <v>136</v>
      </c>
      <c r="B28" s="2">
        <v>0.0264</v>
      </c>
      <c r="C28" s="2">
        <v>0.0264</v>
      </c>
      <c r="D28" s="1" t="s">
        <v>399</v>
      </c>
      <c r="E28" s="2">
        <v>-0.0158327814218132</v>
      </c>
      <c r="F28" s="2">
        <v>0.0478996688530879</v>
      </c>
    </row>
    <row r="29" spans="1:6">
      <c r="A29" s="1" t="s">
        <v>136</v>
      </c>
      <c r="B29" s="2">
        <v>0.0216</v>
      </c>
      <c r="C29" s="2">
        <v>0.0216</v>
      </c>
      <c r="D29" s="1" t="s">
        <v>399</v>
      </c>
      <c r="E29" s="2">
        <v>-0.0158327814218132</v>
      </c>
      <c r="F29" s="2">
        <v>0.0478996688530879</v>
      </c>
    </row>
    <row r="30" spans="1:6">
      <c r="A30" s="1" t="s">
        <v>137</v>
      </c>
      <c r="B30" s="2">
        <v>0.00072</v>
      </c>
      <c r="C30" s="2">
        <v>0.00072</v>
      </c>
      <c r="D30" s="1" t="s">
        <v>399</v>
      </c>
      <c r="E30" s="2">
        <v>-0.0409532646373207</v>
      </c>
      <c r="F30" s="2">
        <v>0.0810554410622011</v>
      </c>
    </row>
    <row r="31" spans="1:6">
      <c r="A31" s="1" t="s">
        <v>137</v>
      </c>
      <c r="B31" s="2">
        <v>0.012</v>
      </c>
      <c r="C31" s="2">
        <v>0.012</v>
      </c>
      <c r="D31" s="1" t="s">
        <v>399</v>
      </c>
      <c r="E31" s="2">
        <v>-0.0409532646373207</v>
      </c>
      <c r="F31" s="2">
        <v>0.0810554410622011</v>
      </c>
    </row>
    <row r="32" spans="1:6">
      <c r="A32" s="1" t="s">
        <v>137</v>
      </c>
      <c r="B32" s="2">
        <v>0.0144</v>
      </c>
      <c r="C32" s="2">
        <v>0.0144</v>
      </c>
      <c r="D32" s="1" t="s">
        <v>399</v>
      </c>
      <c r="E32" s="2">
        <v>-0.0409532646373207</v>
      </c>
      <c r="F32" s="2">
        <v>0.0810554410622011</v>
      </c>
    </row>
    <row r="33" spans="1:6">
      <c r="A33" s="1" t="s">
        <v>137</v>
      </c>
      <c r="B33" s="2">
        <v>0.0048</v>
      </c>
      <c r="C33" s="2">
        <v>0.0048</v>
      </c>
      <c r="D33" s="1" t="s">
        <v>399</v>
      </c>
      <c r="E33" s="2">
        <v>-0.0409532646373207</v>
      </c>
      <c r="F33" s="2">
        <v>0.0810554410622011</v>
      </c>
    </row>
    <row r="34" spans="1:6">
      <c r="A34" s="1" t="s">
        <v>137</v>
      </c>
      <c r="B34" s="2">
        <v>0.0048</v>
      </c>
      <c r="C34" s="2">
        <v>0.0048</v>
      </c>
      <c r="D34" s="1" t="s">
        <v>399</v>
      </c>
      <c r="E34" s="2">
        <v>-0.0409532646373207</v>
      </c>
      <c r="F34" s="2">
        <v>0.0810554410622011</v>
      </c>
    </row>
    <row r="35" spans="1:6">
      <c r="A35" s="1" t="s">
        <v>137</v>
      </c>
      <c r="B35" s="2">
        <v>0.0024</v>
      </c>
      <c r="C35" s="2">
        <v>0.0024</v>
      </c>
      <c r="D35" s="1" t="s">
        <v>399</v>
      </c>
      <c r="E35" s="2">
        <v>-0.0409532646373207</v>
      </c>
      <c r="F35" s="2">
        <v>0.0810554410622011</v>
      </c>
    </row>
    <row r="36" spans="1:6">
      <c r="A36" s="1" t="s">
        <v>137</v>
      </c>
      <c r="B36" s="2">
        <v>0.0072</v>
      </c>
      <c r="C36" s="2">
        <v>0.0072</v>
      </c>
      <c r="D36" s="1" t="s">
        <v>399</v>
      </c>
      <c r="E36" s="2">
        <v>-0.0409532646373207</v>
      </c>
      <c r="F36" s="2">
        <v>0.0810554410622011</v>
      </c>
    </row>
    <row r="37" spans="1:6">
      <c r="A37" s="1" t="s">
        <v>139</v>
      </c>
      <c r="B37" s="2">
        <v>0.003704</v>
      </c>
      <c r="C37" s="2">
        <v>0.003704</v>
      </c>
      <c r="D37" s="1" t="s">
        <v>399</v>
      </c>
      <c r="E37" s="2">
        <v>-0.0892054788061144</v>
      </c>
      <c r="F37" s="2">
        <v>0.168608852215734</v>
      </c>
    </row>
    <row r="38" spans="1:6">
      <c r="A38" s="1" t="s">
        <v>126</v>
      </c>
      <c r="B38" s="2">
        <v>0.0017424</v>
      </c>
      <c r="C38" s="2">
        <v>0.0017424</v>
      </c>
      <c r="D38" s="1" t="s">
        <v>399</v>
      </c>
      <c r="E38" s="2">
        <v>-0.0523367825301163</v>
      </c>
      <c r="F38" s="2">
        <v>0.103637660526783</v>
      </c>
    </row>
    <row r="39" spans="1:6">
      <c r="A39" s="1" t="s">
        <v>108</v>
      </c>
      <c r="B39" s="2">
        <v>0.0123914427587321</v>
      </c>
      <c r="C39" s="2">
        <v>0.0123914427587321</v>
      </c>
      <c r="D39" s="1" t="s">
        <v>399</v>
      </c>
      <c r="E39" s="2">
        <v>-0.0456947399741462</v>
      </c>
      <c r="F39" s="2">
        <v>0.0952044308707162</v>
      </c>
    </row>
    <row r="40" spans="1:6">
      <c r="A40" s="1" t="s">
        <v>137</v>
      </c>
      <c r="B40" s="2">
        <v>0.00604227814569536</v>
      </c>
      <c r="C40" s="2">
        <v>0.00604227814569536</v>
      </c>
      <c r="D40" s="1" t="s">
        <v>399</v>
      </c>
      <c r="E40" s="2">
        <v>-0.0409532646373207</v>
      </c>
      <c r="F40" s="2">
        <v>0.0810554410622011</v>
      </c>
    </row>
    <row r="41" spans="1:6">
      <c r="A41" s="1" t="s">
        <v>137</v>
      </c>
      <c r="B41" s="2">
        <v>0.00024957</v>
      </c>
      <c r="C41" s="2">
        <v>0.00024957</v>
      </c>
      <c r="D41" s="1" t="s">
        <v>399</v>
      </c>
      <c r="E41" s="2">
        <v>-0.0409532646373207</v>
      </c>
      <c r="F41" s="2">
        <v>0.0810554410622011</v>
      </c>
    </row>
    <row r="42" spans="1:6">
      <c r="A42" s="1" t="s">
        <v>112</v>
      </c>
      <c r="B42" s="2">
        <v>0.0021936</v>
      </c>
      <c r="C42" s="2">
        <v>0.0021936</v>
      </c>
      <c r="D42" s="1" t="s">
        <v>399</v>
      </c>
      <c r="E42" s="2">
        <v>-0.0263391357448184</v>
      </c>
      <c r="F42" s="2">
        <v>0.0657234814468911</v>
      </c>
    </row>
    <row r="43" spans="1:6">
      <c r="A43" s="1" t="s">
        <v>126</v>
      </c>
      <c r="B43" s="2">
        <v>0.001092</v>
      </c>
      <c r="C43" s="2">
        <v>0.001092</v>
      </c>
      <c r="D43" s="1" t="s">
        <v>399</v>
      </c>
      <c r="E43" s="2">
        <v>-0.0523367825301163</v>
      </c>
      <c r="F43" s="2">
        <v>0.103637660526783</v>
      </c>
    </row>
    <row r="44" spans="1:6">
      <c r="A44" s="1" t="s">
        <v>160</v>
      </c>
      <c r="B44" s="2">
        <v>0.00117333333333333</v>
      </c>
      <c r="C44" s="2">
        <v>0.00117333333333333</v>
      </c>
      <c r="D44" s="1" t="s">
        <v>399</v>
      </c>
      <c r="E44" s="2">
        <v>-0.7626</v>
      </c>
      <c r="F44" s="2">
        <v>1.32796</v>
      </c>
    </row>
    <row r="45" spans="1:6">
      <c r="A45" s="1" t="s">
        <v>160</v>
      </c>
      <c r="B45" s="2">
        <v>0.00469333333333333</v>
      </c>
      <c r="C45" s="2">
        <v>0.00469333333333333</v>
      </c>
      <c r="D45" s="1" t="s">
        <v>399</v>
      </c>
      <c r="E45" s="2">
        <v>-0.7626</v>
      </c>
      <c r="F45" s="2">
        <v>1.32796</v>
      </c>
    </row>
    <row r="46" spans="1:6">
      <c r="A46" s="1" t="s">
        <v>154</v>
      </c>
      <c r="B46" s="2">
        <v>0.00356153846153846</v>
      </c>
      <c r="C46" s="2">
        <v>0.00356153846153846</v>
      </c>
      <c r="D46" s="1" t="s">
        <v>399</v>
      </c>
      <c r="E46" s="2">
        <v>-0.04647125034</v>
      </c>
      <c r="F46" s="2">
        <v>0.0964600839</v>
      </c>
    </row>
    <row r="47" spans="1:6">
      <c r="A47" s="1" t="s">
        <v>154</v>
      </c>
      <c r="B47" s="2">
        <v>0.00333076923076923</v>
      </c>
      <c r="C47" s="2">
        <v>0.00333076923076923</v>
      </c>
      <c r="D47" s="1" t="s">
        <v>399</v>
      </c>
      <c r="E47" s="2">
        <v>-0.04647125034</v>
      </c>
      <c r="F47" s="2">
        <v>0.0964600839</v>
      </c>
    </row>
    <row r="48" spans="1:6">
      <c r="A48" s="1" t="s">
        <v>154</v>
      </c>
      <c r="B48" s="2">
        <v>0.00394615384615385</v>
      </c>
      <c r="C48" s="2">
        <v>0.00394615384615385</v>
      </c>
      <c r="D48" s="1" t="s">
        <v>399</v>
      </c>
      <c r="E48" s="2">
        <v>-0.04647125034</v>
      </c>
      <c r="F48" s="2">
        <v>0.0964600839</v>
      </c>
    </row>
    <row r="49" spans="1:6">
      <c r="A49" s="1" t="s">
        <v>154</v>
      </c>
      <c r="B49" s="2">
        <v>0.0019</v>
      </c>
      <c r="C49" s="2">
        <v>0.0019</v>
      </c>
      <c r="D49" s="1" t="s">
        <v>399</v>
      </c>
      <c r="E49" s="2">
        <v>-0.04647125034</v>
      </c>
      <c r="F49" s="2">
        <v>0.0964600839</v>
      </c>
    </row>
    <row r="50" spans="1:6">
      <c r="A50" s="1" t="s">
        <v>117</v>
      </c>
      <c r="B50" s="2">
        <v>0.00268238095238095</v>
      </c>
      <c r="C50" s="2">
        <v>0.00268238095238095</v>
      </c>
      <c r="D50" s="1" t="s">
        <v>399</v>
      </c>
      <c r="E50" s="2">
        <v>-0.0463423350789439</v>
      </c>
      <c r="F50" s="2">
        <v>0.0819725902109383</v>
      </c>
    </row>
    <row r="51" spans="1:6">
      <c r="A51" s="1" t="s">
        <v>117</v>
      </c>
      <c r="B51" s="2">
        <v>0.00111095238095238</v>
      </c>
      <c r="C51" s="2">
        <v>0.00111095238095238</v>
      </c>
      <c r="D51" s="1" t="s">
        <v>399</v>
      </c>
      <c r="E51" s="2">
        <v>-0.0463423350789439</v>
      </c>
      <c r="F51" s="2">
        <v>0.0819725902109383</v>
      </c>
    </row>
    <row r="52" spans="1:6">
      <c r="A52" s="1" t="s">
        <v>117</v>
      </c>
      <c r="B52" s="2">
        <v>0.00401190476190476</v>
      </c>
      <c r="C52" s="2">
        <v>0.00401190476190476</v>
      </c>
      <c r="D52" s="1" t="s">
        <v>399</v>
      </c>
      <c r="E52" s="2">
        <v>-0.0463423350789439</v>
      </c>
      <c r="F52" s="2">
        <v>0.0819725902109383</v>
      </c>
    </row>
    <row r="53" spans="1:6">
      <c r="A53" s="1" t="s">
        <v>117</v>
      </c>
      <c r="B53" s="2">
        <v>0.00191904761904762</v>
      </c>
      <c r="C53" s="2">
        <v>0.00191904761904762</v>
      </c>
      <c r="D53" s="1" t="s">
        <v>399</v>
      </c>
      <c r="E53" s="2">
        <v>-0.0463423350789439</v>
      </c>
      <c r="F53" s="2">
        <v>0.0819725902109383</v>
      </c>
    </row>
    <row r="54" spans="1:6">
      <c r="A54" s="1" t="s">
        <v>117</v>
      </c>
      <c r="B54" s="2">
        <v>0.00105933333333333</v>
      </c>
      <c r="C54" s="2">
        <v>0.00105933333333333</v>
      </c>
      <c r="D54" s="1" t="s">
        <v>399</v>
      </c>
      <c r="E54" s="2">
        <v>-0.0463423350789439</v>
      </c>
      <c r="F54" s="2">
        <v>0.0819725902109383</v>
      </c>
    </row>
    <row r="55" spans="1:6">
      <c r="A55" s="1" t="s">
        <v>117</v>
      </c>
      <c r="B55" s="2">
        <v>0.000268666666666667</v>
      </c>
      <c r="C55" s="2">
        <v>0.000268666666666667</v>
      </c>
      <c r="D55" s="1" t="s">
        <v>399</v>
      </c>
      <c r="E55" s="2">
        <v>-0.0463423350789439</v>
      </c>
      <c r="F55" s="2">
        <v>0.0819725902109383</v>
      </c>
    </row>
    <row r="56" spans="1:6">
      <c r="A56" s="1" t="s">
        <v>117</v>
      </c>
      <c r="B56" s="2">
        <v>0.000561333333333333</v>
      </c>
      <c r="C56" s="2">
        <v>0.000561333333333333</v>
      </c>
      <c r="D56" s="1" t="s">
        <v>399</v>
      </c>
      <c r="E56" s="2">
        <v>-0.0463423350789439</v>
      </c>
      <c r="F56" s="2">
        <v>0.0819725902109383</v>
      </c>
    </row>
    <row r="57" spans="1:6">
      <c r="A57" s="1" t="s">
        <v>117</v>
      </c>
      <c r="B57" s="2">
        <v>0.00111866666666667</v>
      </c>
      <c r="C57" s="2">
        <v>0.00111866666666667</v>
      </c>
      <c r="D57" s="1" t="s">
        <v>399</v>
      </c>
      <c r="E57" s="2">
        <v>-0.0463423350789439</v>
      </c>
      <c r="F57" s="2">
        <v>0.0819725902109383</v>
      </c>
    </row>
    <row r="58" spans="1:6">
      <c r="A58" s="1" t="s">
        <v>117</v>
      </c>
      <c r="B58" s="2">
        <v>0.0279272727272727</v>
      </c>
      <c r="C58" s="2">
        <v>0.0279272727272727</v>
      </c>
      <c r="D58" s="1" t="s">
        <v>399</v>
      </c>
      <c r="E58" s="2">
        <v>-0.0463423350789439</v>
      </c>
      <c r="F58" s="2">
        <v>0.0819725902109383</v>
      </c>
    </row>
    <row r="59" spans="1:6">
      <c r="A59" s="1" t="s">
        <v>117</v>
      </c>
      <c r="B59" s="2">
        <v>0.0125890909090909</v>
      </c>
      <c r="C59" s="2">
        <v>0.0125890909090909</v>
      </c>
      <c r="D59" s="1" t="s">
        <v>399</v>
      </c>
      <c r="E59" s="2">
        <v>-0.0463423350789439</v>
      </c>
      <c r="F59" s="2">
        <v>0.0819725902109383</v>
      </c>
    </row>
    <row r="60" spans="1:6">
      <c r="A60" s="1" t="s">
        <v>117</v>
      </c>
      <c r="B60" s="2">
        <v>0.0226909090909091</v>
      </c>
      <c r="C60" s="2">
        <v>0.0226909090909091</v>
      </c>
      <c r="D60" s="1" t="s">
        <v>399</v>
      </c>
      <c r="E60" s="2">
        <v>-0.0463423350789439</v>
      </c>
      <c r="F60" s="2">
        <v>0.0819725902109383</v>
      </c>
    </row>
    <row r="61" spans="1:6">
      <c r="A61" s="1" t="s">
        <v>117</v>
      </c>
      <c r="B61" s="2">
        <v>0.0349090909090909</v>
      </c>
      <c r="C61" s="2">
        <v>0.0349090909090909</v>
      </c>
      <c r="D61" s="1" t="s">
        <v>399</v>
      </c>
      <c r="E61" s="2">
        <v>-0.0463423350789439</v>
      </c>
      <c r="F61" s="2">
        <v>0.0819725902109383</v>
      </c>
    </row>
    <row r="62" spans="1:6">
      <c r="A62" s="1" t="s">
        <v>117</v>
      </c>
      <c r="B62" s="2">
        <v>0.0168872727272727</v>
      </c>
      <c r="C62" s="2">
        <v>0.0168872727272727</v>
      </c>
      <c r="D62" s="1" t="s">
        <v>399</v>
      </c>
      <c r="E62" s="2">
        <v>-0.0463423350789439</v>
      </c>
      <c r="F62" s="2">
        <v>0.0819725902109383</v>
      </c>
    </row>
    <row r="63" spans="1:6">
      <c r="A63" s="1" t="s">
        <v>108</v>
      </c>
      <c r="B63" s="2">
        <v>0.0156</v>
      </c>
      <c r="C63" s="2">
        <v>0.0156</v>
      </c>
      <c r="D63" s="1" t="s">
        <v>399</v>
      </c>
      <c r="E63" s="2">
        <v>-0.0456947399741462</v>
      </c>
      <c r="F63" s="2">
        <v>0.0952044308707162</v>
      </c>
    </row>
    <row r="64" spans="1:6">
      <c r="A64" s="1" t="s">
        <v>108</v>
      </c>
      <c r="B64" s="2">
        <v>0.021624</v>
      </c>
      <c r="C64" s="2">
        <v>0.021624</v>
      </c>
      <c r="D64" s="1" t="s">
        <v>399</v>
      </c>
      <c r="E64" s="2">
        <v>-0.0456947399741462</v>
      </c>
      <c r="F64" s="2">
        <v>0.0952044308707162</v>
      </c>
    </row>
    <row r="65" spans="1:6">
      <c r="A65" s="1" t="s">
        <v>154</v>
      </c>
      <c r="B65" s="2">
        <v>0.0105738894031897</v>
      </c>
      <c r="C65" s="2">
        <v>0.0105738894031897</v>
      </c>
      <c r="D65" s="1" t="s">
        <v>399</v>
      </c>
      <c r="E65" s="2">
        <v>-0.04647125034</v>
      </c>
      <c r="F65" s="2">
        <v>0.0964600839</v>
      </c>
    </row>
    <row r="66" spans="1:6">
      <c r="A66" s="1" t="s">
        <v>126</v>
      </c>
      <c r="B66" s="2">
        <v>0.0147419835839407</v>
      </c>
      <c r="C66" s="2">
        <v>0.0147419835839407</v>
      </c>
      <c r="D66" s="1" t="s">
        <v>399</v>
      </c>
      <c r="E66" s="2">
        <v>-0.0523367825301163</v>
      </c>
      <c r="F66" s="2">
        <v>0.103637660526783</v>
      </c>
    </row>
    <row r="67" spans="1:6">
      <c r="A67" s="1" t="s">
        <v>126</v>
      </c>
      <c r="B67" s="2">
        <v>0.00131731551321587</v>
      </c>
      <c r="C67" s="2">
        <v>0.00131731551321587</v>
      </c>
      <c r="D67" s="1" t="s">
        <v>399</v>
      </c>
      <c r="E67" s="2">
        <v>-0.0523367825301163</v>
      </c>
      <c r="F67" s="2">
        <v>0.103637660526783</v>
      </c>
    </row>
    <row r="68" spans="1:6">
      <c r="A68" s="1" t="s">
        <v>184</v>
      </c>
      <c r="B68" s="2">
        <v>0.0264748201438849</v>
      </c>
      <c r="C68" s="2">
        <v>0.0264748201438849</v>
      </c>
      <c r="D68" s="1" t="s">
        <v>399</v>
      </c>
      <c r="E68" s="2">
        <v>0.00503597122302164</v>
      </c>
      <c r="F68" s="2">
        <v>0.0407194244604317</v>
      </c>
    </row>
    <row r="69" spans="1:6">
      <c r="A69" s="1" t="s">
        <v>184</v>
      </c>
      <c r="B69" s="2">
        <v>0.0218705035971223</v>
      </c>
      <c r="C69" s="2">
        <v>0.0218705035971223</v>
      </c>
      <c r="D69" s="1" t="s">
        <v>399</v>
      </c>
      <c r="E69" s="2">
        <v>0.00503597122302164</v>
      </c>
      <c r="F69" s="2">
        <v>0.0407194244604317</v>
      </c>
    </row>
    <row r="70" spans="1:6">
      <c r="A70" s="1" t="s">
        <v>184</v>
      </c>
      <c r="B70" s="2">
        <v>0.0161151079136691</v>
      </c>
      <c r="C70" s="2">
        <v>0.0161151079136691</v>
      </c>
      <c r="D70" s="1" t="s">
        <v>399</v>
      </c>
      <c r="E70" s="2">
        <v>0.00503597122302164</v>
      </c>
      <c r="F70" s="2">
        <v>0.0407194244604317</v>
      </c>
    </row>
    <row r="71" spans="1:6">
      <c r="A71" s="1" t="s">
        <v>184</v>
      </c>
      <c r="B71" s="2">
        <v>0.0207194244604317</v>
      </c>
      <c r="C71" s="2">
        <v>0.0207194244604317</v>
      </c>
      <c r="D71" s="1" t="s">
        <v>399</v>
      </c>
      <c r="E71" s="2">
        <v>0.00503597122302164</v>
      </c>
      <c r="F71" s="2">
        <v>0.0407194244604317</v>
      </c>
    </row>
    <row r="72" spans="1:6">
      <c r="A72" s="1" t="s">
        <v>184</v>
      </c>
      <c r="B72" s="2">
        <v>0.0247482014388489</v>
      </c>
      <c r="C72" s="2">
        <v>0.0247482014388489</v>
      </c>
      <c r="D72" s="1" t="s">
        <v>399</v>
      </c>
      <c r="E72" s="2">
        <v>0.00503597122302164</v>
      </c>
      <c r="F72" s="2">
        <v>0.0407194244604317</v>
      </c>
    </row>
    <row r="73" spans="1:6">
      <c r="A73" s="1" t="s">
        <v>184</v>
      </c>
      <c r="B73" s="2">
        <v>0.0264748201438849</v>
      </c>
      <c r="C73" s="2">
        <v>0.0264748201438849</v>
      </c>
      <c r="D73" s="1" t="s">
        <v>399</v>
      </c>
      <c r="E73" s="2">
        <v>0.00503597122302164</v>
      </c>
      <c r="F73" s="2">
        <v>0.0407194244604317</v>
      </c>
    </row>
    <row r="74" spans="1:6">
      <c r="A74" s="1" t="s">
        <v>184</v>
      </c>
      <c r="B74" s="2">
        <v>0.0282014388489209</v>
      </c>
      <c r="C74" s="2">
        <v>0.0282014388489209</v>
      </c>
      <c r="D74" s="1" t="s">
        <v>399</v>
      </c>
      <c r="E74" s="2">
        <v>0.00503597122302164</v>
      </c>
      <c r="F74" s="2">
        <v>0.0407194244604317</v>
      </c>
    </row>
    <row r="75" spans="1:6">
      <c r="A75" s="1" t="s">
        <v>108</v>
      </c>
      <c r="B75" s="2">
        <v>0.00122781774580336</v>
      </c>
      <c r="C75" s="2">
        <v>0.00122781774580336</v>
      </c>
      <c r="D75" s="1" t="s">
        <v>399</v>
      </c>
      <c r="E75" s="2">
        <v>-0.0456947399741462</v>
      </c>
      <c r="F75" s="2">
        <v>0.0952044308707162</v>
      </c>
    </row>
    <row r="76" spans="1:6">
      <c r="A76" s="1" t="s">
        <v>160</v>
      </c>
      <c r="B76" s="2">
        <v>0.608</v>
      </c>
      <c r="C76" s="2">
        <v>0.608</v>
      </c>
      <c r="D76" s="1" t="s">
        <v>399</v>
      </c>
      <c r="E76" s="2">
        <v>-0.7626</v>
      </c>
      <c r="F76" s="2">
        <v>1.32796</v>
      </c>
    </row>
    <row r="77" spans="1:6">
      <c r="A77" s="1" t="s">
        <v>160</v>
      </c>
      <c r="B77" s="2">
        <v>0.832</v>
      </c>
      <c r="C77" s="2">
        <v>0.832</v>
      </c>
      <c r="D77" s="1" t="s">
        <v>399</v>
      </c>
      <c r="E77" s="2">
        <v>-0.7626</v>
      </c>
      <c r="F77" s="2">
        <v>1.32796</v>
      </c>
    </row>
    <row r="78" spans="1:6">
      <c r="A78" s="1" t="s">
        <v>160</v>
      </c>
      <c r="B78" s="2">
        <v>0.352</v>
      </c>
      <c r="C78" s="2">
        <v>0.352</v>
      </c>
      <c r="D78" s="1" t="s">
        <v>399</v>
      </c>
      <c r="E78" s="2">
        <v>-0.7626</v>
      </c>
      <c r="F78" s="2">
        <v>1.32796</v>
      </c>
    </row>
    <row r="79" spans="1:6">
      <c r="A79" s="1" t="s">
        <v>160</v>
      </c>
      <c r="B79" s="2">
        <v>0.768</v>
      </c>
      <c r="C79" s="2">
        <v>0.768</v>
      </c>
      <c r="D79" s="1" t="s">
        <v>399</v>
      </c>
      <c r="E79" s="2">
        <v>-0.7626</v>
      </c>
      <c r="F79" s="2">
        <v>1.32796</v>
      </c>
    </row>
    <row r="80" spans="1:6">
      <c r="A80" s="1" t="s">
        <v>160</v>
      </c>
      <c r="B80" s="2">
        <v>0.01248</v>
      </c>
      <c r="C80" s="2">
        <v>0.01248</v>
      </c>
      <c r="D80" s="1" t="s">
        <v>399</v>
      </c>
      <c r="E80" s="2">
        <v>-0.7626</v>
      </c>
      <c r="F80" s="2">
        <v>1.32796</v>
      </c>
    </row>
    <row r="81" spans="1:6">
      <c r="A81" s="1" t="s">
        <v>160</v>
      </c>
      <c r="B81" s="2">
        <v>0.304</v>
      </c>
      <c r="C81" s="2">
        <v>0.304</v>
      </c>
      <c r="D81" s="1" t="s">
        <v>399</v>
      </c>
      <c r="E81" s="2">
        <v>-0.7626</v>
      </c>
      <c r="F81" s="2">
        <v>1.32796</v>
      </c>
    </row>
    <row r="82" spans="1:6">
      <c r="A82" s="1" t="s">
        <v>160</v>
      </c>
      <c r="B82" s="2">
        <v>0.1536</v>
      </c>
      <c r="C82" s="2">
        <v>0.1536</v>
      </c>
      <c r="D82" s="1" t="s">
        <v>399</v>
      </c>
      <c r="E82" s="2">
        <v>-0.7626</v>
      </c>
      <c r="F82" s="2">
        <v>1.32796</v>
      </c>
    </row>
    <row r="83" spans="1:6">
      <c r="A83" s="1" t="s">
        <v>136</v>
      </c>
      <c r="B83" s="2">
        <v>0.0144</v>
      </c>
      <c r="C83" s="2">
        <v>0.0144</v>
      </c>
      <c r="D83" s="1" t="s">
        <v>399</v>
      </c>
      <c r="E83" s="2">
        <v>-0.0158327814218132</v>
      </c>
      <c r="F83" s="2">
        <v>0.0478996688530879</v>
      </c>
    </row>
    <row r="84" spans="1:6">
      <c r="A84" s="1" t="s">
        <v>136</v>
      </c>
      <c r="B84" s="2">
        <v>0.0168</v>
      </c>
      <c r="C84" s="2">
        <v>0.0168</v>
      </c>
      <c r="D84" s="1" t="s">
        <v>399</v>
      </c>
      <c r="E84" s="2">
        <v>-0.0158327814218132</v>
      </c>
      <c r="F84" s="2">
        <v>0.0478996688530879</v>
      </c>
    </row>
    <row r="85" spans="1:6">
      <c r="A85" s="1" t="s">
        <v>184</v>
      </c>
      <c r="B85" s="2">
        <v>9.08096025333551e-5</v>
      </c>
      <c r="C85" s="2">
        <v>9.08096025333551e-5</v>
      </c>
      <c r="D85" s="1" t="s">
        <v>400</v>
      </c>
      <c r="E85" s="2">
        <v>0.00503597122302164</v>
      </c>
      <c r="F85" s="2">
        <v>0.0407194244604317</v>
      </c>
    </row>
    <row r="86" spans="1:6">
      <c r="A86" s="1" t="s">
        <v>139</v>
      </c>
      <c r="B86" s="2">
        <v>0.00305035971223022</v>
      </c>
      <c r="C86" s="2">
        <v>0.00305035971223022</v>
      </c>
      <c r="D86" s="1" t="s">
        <v>399</v>
      </c>
      <c r="E86" s="2">
        <v>-0.0892054788061144</v>
      </c>
      <c r="F86" s="2">
        <v>0.168608852215734</v>
      </c>
    </row>
    <row r="87" spans="1:6">
      <c r="A87" s="1" t="s">
        <v>108</v>
      </c>
      <c r="B87" s="2">
        <v>0.000402877697841727</v>
      </c>
      <c r="C87" s="2">
        <v>0.000402877697841727</v>
      </c>
      <c r="D87" s="1" t="s">
        <v>399</v>
      </c>
      <c r="E87" s="2">
        <v>-0.0456947399741462</v>
      </c>
      <c r="F87" s="2">
        <v>0.0952044308707162</v>
      </c>
    </row>
    <row r="88" spans="1:6">
      <c r="A88" s="1" t="s">
        <v>108</v>
      </c>
      <c r="B88" s="2">
        <v>0.000690647482014389</v>
      </c>
      <c r="C88" s="2">
        <v>0.000690647482014389</v>
      </c>
      <c r="D88" s="1" t="s">
        <v>399</v>
      </c>
      <c r="E88" s="2">
        <v>-0.0456947399741462</v>
      </c>
      <c r="F88" s="2">
        <v>0.0952044308707162</v>
      </c>
    </row>
    <row r="89" spans="1:6">
      <c r="A89" s="1" t="s">
        <v>108</v>
      </c>
      <c r="B89" s="2">
        <v>0.00161151079136691</v>
      </c>
      <c r="C89" s="2">
        <v>0.00161151079136691</v>
      </c>
      <c r="D89" s="1" t="s">
        <v>399</v>
      </c>
      <c r="E89" s="2">
        <v>-0.0456947399741462</v>
      </c>
      <c r="F89" s="2">
        <v>0.0952044308707162</v>
      </c>
    </row>
    <row r="90" spans="1:6">
      <c r="A90" s="1" t="s">
        <v>126</v>
      </c>
      <c r="B90" s="2">
        <v>0.0001</v>
      </c>
      <c r="C90" s="2">
        <v>0.0001</v>
      </c>
      <c r="D90" s="1" t="s">
        <v>399</v>
      </c>
      <c r="E90" s="2">
        <v>-0.0523367825301163</v>
      </c>
      <c r="F90" s="2">
        <v>0.103637660526783</v>
      </c>
    </row>
    <row r="91" spans="1:6">
      <c r="A91" s="1" t="s">
        <v>108</v>
      </c>
      <c r="B91" s="2">
        <v>0.00032</v>
      </c>
      <c r="C91" s="2">
        <v>0.00032</v>
      </c>
      <c r="D91" s="1" t="s">
        <v>399</v>
      </c>
      <c r="E91" s="2">
        <v>-0.0456947399741462</v>
      </c>
      <c r="F91" s="2">
        <v>0.0952044308707162</v>
      </c>
    </row>
    <row r="92" spans="1:6">
      <c r="A92" s="1" t="s">
        <v>184</v>
      </c>
      <c r="B92" s="2">
        <v>0.000128</v>
      </c>
      <c r="C92" s="2">
        <v>0.000128</v>
      </c>
      <c r="D92" s="1" t="s">
        <v>400</v>
      </c>
      <c r="E92" s="2">
        <v>0.00503597122302164</v>
      </c>
      <c r="F92" s="2">
        <v>0.0407194244604317</v>
      </c>
    </row>
    <row r="93" spans="1:6">
      <c r="A93" s="1" t="s">
        <v>108</v>
      </c>
      <c r="B93" s="2">
        <v>0.1272</v>
      </c>
      <c r="C93" s="2">
        <v>0.1272</v>
      </c>
      <c r="D93" s="1" t="s">
        <v>400</v>
      </c>
      <c r="E93" s="2">
        <v>-0.0456947399741462</v>
      </c>
      <c r="F93" s="2">
        <v>0.0952044308707162</v>
      </c>
    </row>
    <row r="94" spans="1:6">
      <c r="A94" s="1" t="s">
        <v>108</v>
      </c>
      <c r="B94" s="2">
        <v>0.0288</v>
      </c>
      <c r="C94" s="2">
        <v>0.0288</v>
      </c>
      <c r="D94" s="1" t="s">
        <v>399</v>
      </c>
      <c r="E94" s="2">
        <v>-0.0456947399741462</v>
      </c>
      <c r="F94" s="2">
        <v>0.0952044308707162</v>
      </c>
    </row>
    <row r="95" spans="1:6">
      <c r="A95" s="1" t="s">
        <v>108</v>
      </c>
      <c r="B95" s="2">
        <v>0.0192</v>
      </c>
      <c r="C95" s="2">
        <v>0.0192</v>
      </c>
      <c r="D95" s="1" t="s">
        <v>399</v>
      </c>
      <c r="E95" s="2">
        <v>-0.0456947399741462</v>
      </c>
      <c r="F95" s="2">
        <v>0.0952044308707162</v>
      </c>
    </row>
    <row r="96" spans="1:6">
      <c r="A96" s="1" t="s">
        <v>137</v>
      </c>
      <c r="B96" s="2">
        <v>0.02088</v>
      </c>
      <c r="C96" s="2">
        <v>0.02088</v>
      </c>
      <c r="D96" s="1" t="s">
        <v>399</v>
      </c>
      <c r="E96" s="2">
        <v>-0.0409532646373207</v>
      </c>
      <c r="F96" s="2">
        <v>0.0810554410622011</v>
      </c>
    </row>
    <row r="97" spans="1:6">
      <c r="A97" s="1" t="s">
        <v>154</v>
      </c>
      <c r="B97" s="2">
        <v>0.0647482014388489</v>
      </c>
      <c r="C97" s="2">
        <v>0.0647482014388489</v>
      </c>
      <c r="D97" s="1" t="s">
        <v>399</v>
      </c>
      <c r="E97" s="2">
        <v>-0.04647125034</v>
      </c>
      <c r="F97" s="2">
        <v>0.0964600839</v>
      </c>
    </row>
    <row r="98" spans="1:6">
      <c r="A98" s="1" t="s">
        <v>184</v>
      </c>
      <c r="B98" s="2">
        <v>0.0647482014388489</v>
      </c>
      <c r="C98" s="2">
        <v>0.0647482014388489</v>
      </c>
      <c r="D98" s="1" t="s">
        <v>400</v>
      </c>
      <c r="E98" s="2">
        <v>0.00503597122302164</v>
      </c>
      <c r="F98" s="2">
        <v>0.0407194244604317</v>
      </c>
    </row>
    <row r="99" spans="1:6">
      <c r="A99" s="1" t="s">
        <v>184</v>
      </c>
      <c r="B99" s="2">
        <v>0.0647482014388489</v>
      </c>
      <c r="C99" s="2">
        <v>0.0647482014388489</v>
      </c>
      <c r="D99" s="1" t="s">
        <v>400</v>
      </c>
      <c r="E99" s="2">
        <v>0.00503597122302164</v>
      </c>
      <c r="F99" s="2">
        <v>0.0407194244604317</v>
      </c>
    </row>
    <row r="100" spans="1:6">
      <c r="A100" s="1" t="s">
        <v>117</v>
      </c>
      <c r="B100" s="2">
        <v>0.001728</v>
      </c>
      <c r="C100" s="2">
        <v>0.001728</v>
      </c>
      <c r="D100" s="1" t="s">
        <v>399</v>
      </c>
      <c r="E100" s="2">
        <v>-0.0463423350789439</v>
      </c>
      <c r="F100" s="2">
        <v>0.0819725902109383</v>
      </c>
    </row>
    <row r="101" spans="1:6">
      <c r="A101" s="1" t="s">
        <v>126</v>
      </c>
      <c r="B101" s="2">
        <v>0.00147709589041096</v>
      </c>
      <c r="C101" s="2">
        <v>0.00147709589041096</v>
      </c>
      <c r="D101" s="1" t="s">
        <v>399</v>
      </c>
      <c r="E101" s="2">
        <v>-0.0523367825301163</v>
      </c>
      <c r="F101" s="2">
        <v>0.103637660526783</v>
      </c>
    </row>
    <row r="102" spans="1:6">
      <c r="A102" s="1" t="s">
        <v>126</v>
      </c>
      <c r="B102" s="2">
        <v>0.001944</v>
      </c>
      <c r="C102" s="2">
        <v>0.001944</v>
      </c>
      <c r="D102" s="1" t="s">
        <v>399</v>
      </c>
      <c r="E102" s="2">
        <v>-0.0523367825301163</v>
      </c>
      <c r="F102" s="2">
        <v>0.103637660526783</v>
      </c>
    </row>
    <row r="103" spans="1:6">
      <c r="A103" s="1" t="s">
        <v>126</v>
      </c>
      <c r="B103" s="2">
        <v>0.003024</v>
      </c>
      <c r="C103" s="2">
        <v>0.003024</v>
      </c>
      <c r="D103" s="1" t="s">
        <v>399</v>
      </c>
      <c r="E103" s="2">
        <v>-0.0523367825301163</v>
      </c>
      <c r="F103" s="2">
        <v>0.103637660526783</v>
      </c>
    </row>
    <row r="104" spans="1:6">
      <c r="A104" s="1" t="s">
        <v>154</v>
      </c>
      <c r="B104" s="2">
        <v>0.007128</v>
      </c>
      <c r="C104" s="2">
        <v>0.007128</v>
      </c>
      <c r="D104" s="1" t="s">
        <v>399</v>
      </c>
      <c r="E104" s="2">
        <v>-0.04647125034</v>
      </c>
      <c r="F104" s="2">
        <v>0.0964600839</v>
      </c>
    </row>
    <row r="105" spans="1:6">
      <c r="A105" s="1" t="s">
        <v>126</v>
      </c>
      <c r="B105" s="2">
        <v>0.00373506976744186</v>
      </c>
      <c r="C105" s="2">
        <v>0.00373506976744186</v>
      </c>
      <c r="D105" s="1" t="s">
        <v>399</v>
      </c>
      <c r="E105" s="2">
        <v>-0.0523367825301163</v>
      </c>
      <c r="F105" s="2">
        <v>0.103637660526783</v>
      </c>
    </row>
    <row r="106" spans="1:6">
      <c r="A106" s="1" t="s">
        <v>126</v>
      </c>
      <c r="B106" s="2">
        <v>0.00167801758593125</v>
      </c>
      <c r="C106" s="2">
        <v>0.00167801758593125</v>
      </c>
      <c r="D106" s="1" t="s">
        <v>399</v>
      </c>
      <c r="E106" s="2">
        <v>-0.0523367825301163</v>
      </c>
      <c r="F106" s="2">
        <v>0.103637660526783</v>
      </c>
    </row>
    <row r="107" spans="1:6">
      <c r="A107" s="1" t="s">
        <v>126</v>
      </c>
      <c r="B107" s="2">
        <v>0.00130967226219025</v>
      </c>
      <c r="C107" s="2">
        <v>0.00130967226219025</v>
      </c>
      <c r="D107" s="1" t="s">
        <v>399</v>
      </c>
      <c r="E107" s="2">
        <v>-0.0523367825301163</v>
      </c>
      <c r="F107" s="2">
        <v>0.103637660526783</v>
      </c>
    </row>
    <row r="108" spans="1:6">
      <c r="A108" s="1" t="s">
        <v>126</v>
      </c>
      <c r="B108" s="2">
        <v>0.00136765254463096</v>
      </c>
      <c r="C108" s="2">
        <v>0.00136765254463096</v>
      </c>
      <c r="D108" s="1" t="s">
        <v>399</v>
      </c>
      <c r="E108" s="2">
        <v>-0.0523367825301163</v>
      </c>
      <c r="F108" s="2">
        <v>0.103637660526783</v>
      </c>
    </row>
    <row r="109" spans="1:6">
      <c r="A109" s="1" t="s">
        <v>126</v>
      </c>
      <c r="B109" s="2">
        <v>0.00155523581135092</v>
      </c>
      <c r="C109" s="2">
        <v>0.00155523581135092</v>
      </c>
      <c r="D109" s="1" t="s">
        <v>399</v>
      </c>
      <c r="E109" s="2">
        <v>-0.0523367825301163</v>
      </c>
      <c r="F109" s="2">
        <v>0.103637660526783</v>
      </c>
    </row>
    <row r="110" spans="1:6">
      <c r="A110" s="1" t="s">
        <v>126</v>
      </c>
      <c r="B110" s="2">
        <v>0.00163709032773781</v>
      </c>
      <c r="C110" s="2">
        <v>0.00163709032773781</v>
      </c>
      <c r="D110" s="1" t="s">
        <v>399</v>
      </c>
      <c r="E110" s="2">
        <v>-0.0523367825301163</v>
      </c>
      <c r="F110" s="2">
        <v>0.103637660526783</v>
      </c>
    </row>
    <row r="111" spans="1:6">
      <c r="A111" s="1" t="s">
        <v>126</v>
      </c>
      <c r="B111" s="2">
        <v>0.0018587796429523</v>
      </c>
      <c r="C111" s="2">
        <v>0.0018587796429523</v>
      </c>
      <c r="D111" s="1" t="s">
        <v>399</v>
      </c>
      <c r="E111" s="2">
        <v>-0.0523367825301163</v>
      </c>
      <c r="F111" s="2">
        <v>0.103637660526783</v>
      </c>
    </row>
    <row r="112" spans="1:6">
      <c r="A112" s="1" t="s">
        <v>126</v>
      </c>
      <c r="B112" s="2">
        <v>0.00199861444177991</v>
      </c>
      <c r="C112" s="2">
        <v>0.00199861444177991</v>
      </c>
      <c r="D112" s="1" t="s">
        <v>399</v>
      </c>
      <c r="E112" s="2">
        <v>-0.0523367825301163</v>
      </c>
      <c r="F112" s="2">
        <v>0.103637660526783</v>
      </c>
    </row>
    <row r="113" spans="1:6">
      <c r="A113" s="1" t="s">
        <v>126</v>
      </c>
      <c r="B113" s="2">
        <v>0.00224076738609113</v>
      </c>
      <c r="C113" s="2">
        <v>0.00224076738609113</v>
      </c>
      <c r="D113" s="1" t="s">
        <v>399</v>
      </c>
      <c r="E113" s="2">
        <v>-0.0523367825301163</v>
      </c>
      <c r="F113" s="2">
        <v>0.103637660526783</v>
      </c>
    </row>
    <row r="114" spans="1:6">
      <c r="A114" s="1" t="s">
        <v>126</v>
      </c>
      <c r="B114" s="2">
        <v>0.00251702637889688</v>
      </c>
      <c r="C114" s="2">
        <v>0.00251702637889688</v>
      </c>
      <c r="D114" s="1" t="s">
        <v>399</v>
      </c>
      <c r="E114" s="2">
        <v>-0.0523367825301163</v>
      </c>
      <c r="F114" s="2">
        <v>0.103637660526783</v>
      </c>
    </row>
    <row r="115" spans="1:6">
      <c r="A115" s="1" t="s">
        <v>126</v>
      </c>
      <c r="B115" s="2">
        <v>0.00255795363709033</v>
      </c>
      <c r="C115" s="2">
        <v>0.00255795363709033</v>
      </c>
      <c r="D115" s="1" t="s">
        <v>399</v>
      </c>
      <c r="E115" s="2">
        <v>-0.0523367825301163</v>
      </c>
      <c r="F115" s="2">
        <v>0.103637660526783</v>
      </c>
    </row>
    <row r="116" spans="1:6">
      <c r="A116" s="1" t="s">
        <v>126</v>
      </c>
      <c r="B116" s="2">
        <v>0.00211798561151079</v>
      </c>
      <c r="C116" s="2">
        <v>0.00211798561151079</v>
      </c>
      <c r="D116" s="1" t="s">
        <v>399</v>
      </c>
      <c r="E116" s="2">
        <v>-0.0523367825301163</v>
      </c>
      <c r="F116" s="2">
        <v>0.103637660526783</v>
      </c>
    </row>
    <row r="117" spans="1:6">
      <c r="A117" s="1" t="s">
        <v>126</v>
      </c>
      <c r="B117" s="2">
        <v>0.00160298427924327</v>
      </c>
      <c r="C117" s="2">
        <v>0.00160298427924327</v>
      </c>
      <c r="D117" s="1" t="s">
        <v>399</v>
      </c>
      <c r="E117" s="2">
        <v>-0.0523367825301163</v>
      </c>
      <c r="F117" s="2">
        <v>0.103637660526783</v>
      </c>
    </row>
    <row r="118" spans="1:6">
      <c r="A118" s="1" t="s">
        <v>126</v>
      </c>
      <c r="B118" s="2">
        <v>0.00123804956035172</v>
      </c>
      <c r="C118" s="2">
        <v>0.00123804956035172</v>
      </c>
      <c r="D118" s="1" t="s">
        <v>399</v>
      </c>
      <c r="E118" s="2">
        <v>-0.0523367825301163</v>
      </c>
      <c r="F118" s="2">
        <v>0.103637660526783</v>
      </c>
    </row>
    <row r="119" spans="1:6">
      <c r="A119" s="1" t="s">
        <v>126</v>
      </c>
      <c r="B119" s="2">
        <v>0.00109821476152411</v>
      </c>
      <c r="C119" s="2">
        <v>0.00109821476152411</v>
      </c>
      <c r="D119" s="1" t="s">
        <v>399</v>
      </c>
      <c r="E119" s="2">
        <v>-0.0523367825301163</v>
      </c>
      <c r="F119" s="2">
        <v>0.103637660526783</v>
      </c>
    </row>
    <row r="120" spans="1:6">
      <c r="A120" s="1" t="s">
        <v>126</v>
      </c>
      <c r="B120" s="2">
        <v>0.00158934185984546</v>
      </c>
      <c r="C120" s="2">
        <v>0.00158934185984546</v>
      </c>
      <c r="D120" s="1" t="s">
        <v>399</v>
      </c>
      <c r="E120" s="2">
        <v>-0.0523367825301163</v>
      </c>
      <c r="F120" s="2">
        <v>0.103637660526783</v>
      </c>
    </row>
    <row r="121" spans="1:6">
      <c r="A121" s="1" t="s">
        <v>126</v>
      </c>
      <c r="B121" s="2">
        <v>0.00146997069011458</v>
      </c>
      <c r="C121" s="2">
        <v>0.00146997069011458</v>
      </c>
      <c r="D121" s="1" t="s">
        <v>399</v>
      </c>
      <c r="E121" s="2">
        <v>-0.0523367825301163</v>
      </c>
      <c r="F121" s="2">
        <v>0.103637660526783</v>
      </c>
    </row>
    <row r="122" spans="1:6">
      <c r="A122" s="1" t="s">
        <v>154</v>
      </c>
      <c r="B122" s="2">
        <v>0.00740101252331468</v>
      </c>
      <c r="C122" s="2">
        <v>0.00740101252331468</v>
      </c>
      <c r="D122" s="1" t="s">
        <v>399</v>
      </c>
      <c r="E122" s="2">
        <v>-0.04647125034</v>
      </c>
      <c r="F122" s="2">
        <v>0.0964600839</v>
      </c>
    </row>
    <row r="123" spans="1:6">
      <c r="A123" s="1" t="s">
        <v>154</v>
      </c>
      <c r="B123" s="2">
        <v>0.00980548894217959</v>
      </c>
      <c r="C123" s="2">
        <v>0.00980548894217959</v>
      </c>
      <c r="D123" s="1" t="s">
        <v>399</v>
      </c>
      <c r="E123" s="2">
        <v>-0.04647125034</v>
      </c>
      <c r="F123" s="2">
        <v>0.0964600839</v>
      </c>
    </row>
    <row r="124" spans="1:6">
      <c r="A124" s="1" t="s">
        <v>154</v>
      </c>
      <c r="B124" s="2">
        <v>0.0067359445776712</v>
      </c>
      <c r="C124" s="2">
        <v>0.0067359445776712</v>
      </c>
      <c r="D124" s="1" t="s">
        <v>399</v>
      </c>
      <c r="E124" s="2">
        <v>-0.04647125034</v>
      </c>
      <c r="F124" s="2">
        <v>0.0964600839</v>
      </c>
    </row>
    <row r="125" spans="1:6">
      <c r="A125" s="1" t="s">
        <v>154</v>
      </c>
      <c r="B125" s="2">
        <v>0.00617887911892708</v>
      </c>
      <c r="C125" s="2">
        <v>0.00617887911892708</v>
      </c>
      <c r="D125" s="1" t="s">
        <v>399</v>
      </c>
      <c r="E125" s="2">
        <v>-0.04647125034</v>
      </c>
      <c r="F125" s="2">
        <v>0.0964600839</v>
      </c>
    </row>
    <row r="126" spans="1:6">
      <c r="A126" s="1" t="s">
        <v>154</v>
      </c>
      <c r="B126" s="2">
        <v>0.00899262811972644</v>
      </c>
      <c r="C126" s="2">
        <v>0.00899262811972644</v>
      </c>
      <c r="D126" s="1" t="s">
        <v>399</v>
      </c>
      <c r="E126" s="2">
        <v>-0.04647125034</v>
      </c>
      <c r="F126" s="2">
        <v>0.0964600839</v>
      </c>
    </row>
    <row r="127" spans="1:6">
      <c r="A127" s="1" t="s">
        <v>154</v>
      </c>
      <c r="B127" s="2">
        <v>0.00910631494804157</v>
      </c>
      <c r="C127" s="2">
        <v>0.00910631494804157</v>
      </c>
      <c r="D127" s="1" t="s">
        <v>399</v>
      </c>
      <c r="E127" s="2">
        <v>-0.04647125034</v>
      </c>
      <c r="F127" s="2">
        <v>0.0964600839</v>
      </c>
    </row>
    <row r="128" spans="1:6">
      <c r="A128" s="1" t="s">
        <v>154</v>
      </c>
      <c r="B128" s="2">
        <v>0.00821387334576783</v>
      </c>
      <c r="C128" s="2">
        <v>0.00821387334576783</v>
      </c>
      <c r="D128" s="1" t="s">
        <v>399</v>
      </c>
      <c r="E128" s="2">
        <v>-0.04647125034</v>
      </c>
      <c r="F128" s="2">
        <v>0.0964600839</v>
      </c>
    </row>
    <row r="129" spans="1:6">
      <c r="A129" s="1" t="s">
        <v>154</v>
      </c>
      <c r="B129" s="2">
        <v>0.0142847499777955</v>
      </c>
      <c r="C129" s="2">
        <v>0.0142847499777955</v>
      </c>
      <c r="D129" s="1" t="s">
        <v>399</v>
      </c>
      <c r="E129" s="2">
        <v>-0.04647125034</v>
      </c>
      <c r="F129" s="2">
        <v>0.0964600839</v>
      </c>
    </row>
    <row r="130" spans="1:6">
      <c r="A130" s="1" t="s">
        <v>154</v>
      </c>
      <c r="B130" s="2">
        <v>0.0119541699973355</v>
      </c>
      <c r="C130" s="2">
        <v>0.0119541699973355</v>
      </c>
      <c r="D130" s="1" t="s">
        <v>399</v>
      </c>
      <c r="E130" s="2">
        <v>-0.04647125034</v>
      </c>
      <c r="F130" s="2">
        <v>0.0964600839</v>
      </c>
    </row>
    <row r="131" spans="1:6">
      <c r="A131" s="1" t="s">
        <v>154</v>
      </c>
      <c r="B131" s="2">
        <v>0.0101408650857092</v>
      </c>
      <c r="C131" s="2">
        <v>0.0101408650857092</v>
      </c>
      <c r="D131" s="1" t="s">
        <v>399</v>
      </c>
      <c r="E131" s="2">
        <v>-0.04647125034</v>
      </c>
      <c r="F131" s="2">
        <v>0.0964600839</v>
      </c>
    </row>
    <row r="132" spans="1:6">
      <c r="A132" s="1" t="s">
        <v>154</v>
      </c>
      <c r="B132" s="2">
        <v>0.0212025934807709</v>
      </c>
      <c r="C132" s="2">
        <v>0.0212025934807709</v>
      </c>
      <c r="D132" s="1" t="s">
        <v>399</v>
      </c>
      <c r="E132" s="2">
        <v>-0.04647125034</v>
      </c>
      <c r="F132" s="2">
        <v>0.0964600839</v>
      </c>
    </row>
    <row r="133" spans="1:6">
      <c r="A133" s="1" t="s">
        <v>154</v>
      </c>
      <c r="B133" s="2">
        <v>0.0138413713473666</v>
      </c>
      <c r="C133" s="2">
        <v>0.0138413713473666</v>
      </c>
      <c r="D133" s="1" t="s">
        <v>399</v>
      </c>
      <c r="E133" s="2">
        <v>-0.04647125034</v>
      </c>
      <c r="F133" s="2">
        <v>0.0964600839</v>
      </c>
    </row>
    <row r="134" spans="1:6">
      <c r="A134" s="1" t="s">
        <v>154</v>
      </c>
      <c r="B134" s="2">
        <v>0.0101408650857092</v>
      </c>
      <c r="C134" s="2">
        <v>0.0101408650857092</v>
      </c>
      <c r="D134" s="1" t="s">
        <v>399</v>
      </c>
      <c r="E134" s="2">
        <v>-0.04647125034</v>
      </c>
      <c r="F134" s="2">
        <v>0.0964600839</v>
      </c>
    </row>
    <row r="135" spans="1:6">
      <c r="A135" s="1" t="s">
        <v>154</v>
      </c>
      <c r="B135" s="2">
        <v>0.00717932320810019</v>
      </c>
      <c r="C135" s="2">
        <v>0.00717932320810019</v>
      </c>
      <c r="D135" s="1" t="s">
        <v>399</v>
      </c>
      <c r="E135" s="2">
        <v>-0.04647125034</v>
      </c>
      <c r="F135" s="2">
        <v>0.0964600839</v>
      </c>
    </row>
    <row r="136" spans="1:6">
      <c r="A136" s="1" t="s">
        <v>154</v>
      </c>
      <c r="B136" s="2">
        <v>0.00621866950883737</v>
      </c>
      <c r="C136" s="2">
        <v>0.00621866950883737</v>
      </c>
      <c r="D136" s="1" t="s">
        <v>399</v>
      </c>
      <c r="E136" s="2">
        <v>-0.04647125034</v>
      </c>
      <c r="F136" s="2">
        <v>0.0964600839</v>
      </c>
    </row>
    <row r="137" spans="1:6">
      <c r="A137" s="1" t="s">
        <v>126</v>
      </c>
      <c r="B137" s="2">
        <v>0.0067785803237858</v>
      </c>
      <c r="C137" s="2">
        <v>0.0067785803237858</v>
      </c>
      <c r="D137" s="1" t="s">
        <v>399</v>
      </c>
      <c r="E137" s="2">
        <v>-0.0523367825301163</v>
      </c>
      <c r="F137" s="2">
        <v>0.103637660526783</v>
      </c>
    </row>
    <row r="138" spans="1:6">
      <c r="A138" s="1" t="s">
        <v>126</v>
      </c>
      <c r="B138" s="2">
        <v>0.0337343381642512</v>
      </c>
      <c r="C138" s="2">
        <v>0.0337343381642512</v>
      </c>
      <c r="D138" s="1" t="s">
        <v>399</v>
      </c>
      <c r="E138" s="2">
        <v>-0.0523367825301163</v>
      </c>
      <c r="F138" s="2">
        <v>0.103637660526783</v>
      </c>
    </row>
    <row r="139" spans="1:6">
      <c r="A139" s="1" t="s">
        <v>126</v>
      </c>
      <c r="B139" s="2">
        <v>0.00378148603548217</v>
      </c>
      <c r="C139" s="2">
        <v>0.00378148603548217</v>
      </c>
      <c r="D139" s="1" t="s">
        <v>399</v>
      </c>
      <c r="E139" s="2">
        <v>-0.0523367825301163</v>
      </c>
      <c r="F139" s="2">
        <v>0.103637660526783</v>
      </c>
    </row>
    <row r="140" spans="1:6">
      <c r="A140" s="1" t="s">
        <v>126</v>
      </c>
      <c r="B140" s="2">
        <v>0.133033039657802</v>
      </c>
      <c r="C140" s="2">
        <v>0.133033039657802</v>
      </c>
      <c r="D140" s="1" t="s">
        <v>400</v>
      </c>
      <c r="E140" s="2">
        <v>-0.0523367825301163</v>
      </c>
      <c r="F140" s="2">
        <v>0.103637660526783</v>
      </c>
    </row>
    <row r="141" spans="1:6">
      <c r="A141" s="1" t="s">
        <v>126</v>
      </c>
      <c r="B141" s="2">
        <v>0.102888952388312</v>
      </c>
      <c r="C141" s="2">
        <v>0.102888952388312</v>
      </c>
      <c r="D141" s="1" t="s">
        <v>399</v>
      </c>
      <c r="E141" s="2">
        <v>-0.0523367825301163</v>
      </c>
      <c r="F141" s="2">
        <v>0.103637660526783</v>
      </c>
    </row>
    <row r="142" spans="1:6">
      <c r="A142" s="1" t="s">
        <v>126</v>
      </c>
      <c r="B142" s="2">
        <v>0.134337899260052</v>
      </c>
      <c r="C142" s="2">
        <v>0.134337899260052</v>
      </c>
      <c r="D142" s="1" t="s">
        <v>400</v>
      </c>
      <c r="E142" s="2">
        <v>-0.0523367825301163</v>
      </c>
      <c r="F142" s="2">
        <v>0.103637660526783</v>
      </c>
    </row>
    <row r="143" spans="1:6">
      <c r="A143" s="1" t="s">
        <v>126</v>
      </c>
      <c r="B143" s="2">
        <v>0.186479677433334</v>
      </c>
      <c r="C143" s="2">
        <v>0.186479677433334</v>
      </c>
      <c r="D143" s="1" t="s">
        <v>400</v>
      </c>
      <c r="E143" s="2">
        <v>-0.0523367825301163</v>
      </c>
      <c r="F143" s="2">
        <v>0.103637660526783</v>
      </c>
    </row>
    <row r="144" spans="1:6">
      <c r="A144" s="1" t="s">
        <v>126</v>
      </c>
      <c r="B144" s="2">
        <v>0.114048672034946</v>
      </c>
      <c r="C144" s="2">
        <v>0.114048672034946</v>
      </c>
      <c r="D144" s="1" t="s">
        <v>400</v>
      </c>
      <c r="E144" s="2">
        <v>-0.0523367825301163</v>
      </c>
      <c r="F144" s="2">
        <v>0.103637660526783</v>
      </c>
    </row>
    <row r="145" spans="1:6">
      <c r="A145" s="1" t="s">
        <v>126</v>
      </c>
      <c r="B145" s="2">
        <v>0.210001019220961</v>
      </c>
      <c r="C145" s="2">
        <v>0.210001019220961</v>
      </c>
      <c r="D145" s="1" t="s">
        <v>400</v>
      </c>
      <c r="E145" s="2">
        <v>-0.0523367825301163</v>
      </c>
      <c r="F145" s="2">
        <v>0.103637660526783</v>
      </c>
    </row>
    <row r="146" spans="1:6">
      <c r="A146" s="1" t="s">
        <v>126</v>
      </c>
      <c r="B146" s="2">
        <v>0.00256514213308135</v>
      </c>
      <c r="C146" s="2">
        <v>0.00256514213308135</v>
      </c>
      <c r="D146" s="1" t="s">
        <v>399</v>
      </c>
      <c r="E146" s="2">
        <v>-0.0523367825301163</v>
      </c>
      <c r="F146" s="2">
        <v>0.103637660526783</v>
      </c>
    </row>
    <row r="147" spans="1:6">
      <c r="A147" s="1" t="s">
        <v>126</v>
      </c>
      <c r="B147" s="2">
        <v>0.00180341012652525</v>
      </c>
      <c r="C147" s="2">
        <v>0.00180341012652525</v>
      </c>
      <c r="D147" s="1" t="s">
        <v>399</v>
      </c>
      <c r="E147" s="2">
        <v>-0.0523367825301163</v>
      </c>
      <c r="F147" s="2">
        <v>0.103637660526783</v>
      </c>
    </row>
    <row r="148" spans="1:6">
      <c r="A148" s="1" t="s">
        <v>108</v>
      </c>
      <c r="B148" s="2">
        <v>0.0346874409633775</v>
      </c>
      <c r="C148" s="2">
        <v>0.0346874409633775</v>
      </c>
      <c r="D148" s="1" t="s">
        <v>399</v>
      </c>
      <c r="E148" s="2">
        <v>-0.0456947399741462</v>
      </c>
      <c r="F148" s="2">
        <v>0.0952044308707162</v>
      </c>
    </row>
    <row r="149" spans="1:6">
      <c r="A149" s="1" t="s">
        <v>108</v>
      </c>
      <c r="B149" s="2">
        <v>0.0155577674616669</v>
      </c>
      <c r="C149" s="2">
        <v>0.0155577674616669</v>
      </c>
      <c r="D149" s="1" t="s">
        <v>399</v>
      </c>
      <c r="E149" s="2">
        <v>-0.0456947399741462</v>
      </c>
      <c r="F149" s="2">
        <v>0.0952044308707162</v>
      </c>
    </row>
    <row r="150" spans="1:6">
      <c r="A150" s="1" t="s">
        <v>108</v>
      </c>
      <c r="B150" s="2">
        <v>0.104230679181281</v>
      </c>
      <c r="C150" s="2">
        <v>0.104230679181281</v>
      </c>
      <c r="D150" s="1" t="s">
        <v>400</v>
      </c>
      <c r="E150" s="2">
        <v>-0.0456947399741462</v>
      </c>
      <c r="F150" s="2">
        <v>0.0952044308707162</v>
      </c>
    </row>
    <row r="151" spans="1:6">
      <c r="A151" s="1" t="s">
        <v>108</v>
      </c>
      <c r="B151" s="2">
        <v>0.0332084788042243</v>
      </c>
      <c r="C151" s="2">
        <v>0.0332084788042243</v>
      </c>
      <c r="D151" s="1" t="s">
        <v>399</v>
      </c>
      <c r="E151" s="2">
        <v>-0.0456947399741462</v>
      </c>
      <c r="F151" s="2">
        <v>0.0952044308707162</v>
      </c>
    </row>
    <row r="152" spans="1:6">
      <c r="A152" s="1" t="s">
        <v>108</v>
      </c>
      <c r="B152" s="2">
        <v>0.0222241660724222</v>
      </c>
      <c r="C152" s="2">
        <v>0.0222241660724222</v>
      </c>
      <c r="D152" s="1" t="s">
        <v>399</v>
      </c>
      <c r="E152" s="2">
        <v>-0.0456947399741462</v>
      </c>
      <c r="F152" s="2">
        <v>0.0952044308707162</v>
      </c>
    </row>
    <row r="153" spans="1:6">
      <c r="A153" s="1" t="s">
        <v>108</v>
      </c>
      <c r="B153" s="2">
        <v>0.1111824649775</v>
      </c>
      <c r="C153" s="2">
        <v>0.1111824649775</v>
      </c>
      <c r="D153" s="1" t="s">
        <v>400</v>
      </c>
      <c r="E153" s="2">
        <v>-0.0456947399741462</v>
      </c>
      <c r="F153" s="2">
        <v>0.0952044308707162</v>
      </c>
    </row>
    <row r="154" spans="1:6">
      <c r="A154" s="1" t="s">
        <v>108</v>
      </c>
      <c r="B154" s="2">
        <v>0.0487962946464331</v>
      </c>
      <c r="C154" s="2">
        <v>0.0487962946464331</v>
      </c>
      <c r="D154" s="1" t="s">
        <v>399</v>
      </c>
      <c r="E154" s="2">
        <v>-0.0456947399741462</v>
      </c>
      <c r="F154" s="2">
        <v>0.0952044308707162</v>
      </c>
    </row>
    <row r="155" spans="1:6">
      <c r="A155" s="1" t="s">
        <v>108</v>
      </c>
      <c r="B155" s="2">
        <v>0.388230383391198</v>
      </c>
      <c r="C155" s="2">
        <v>0.388230383391198</v>
      </c>
      <c r="D155" s="1" t="s">
        <v>400</v>
      </c>
      <c r="E155" s="2">
        <v>-0.0456947399741462</v>
      </c>
      <c r="F155" s="2">
        <v>0.0952044308707162</v>
      </c>
    </row>
    <row r="156" spans="1:6">
      <c r="A156" s="1" t="s">
        <v>108</v>
      </c>
      <c r="B156" s="2">
        <v>0.115745327993387</v>
      </c>
      <c r="C156" s="2">
        <v>0.115745327993387</v>
      </c>
      <c r="D156" s="1" t="s">
        <v>400</v>
      </c>
      <c r="E156" s="2">
        <v>-0.0456947399741462</v>
      </c>
      <c r="F156" s="2">
        <v>0.0952044308707162</v>
      </c>
    </row>
    <row r="157" spans="1:6">
      <c r="A157" s="1" t="s">
        <v>108</v>
      </c>
      <c r="B157" s="2">
        <v>0.00562173822682097</v>
      </c>
      <c r="C157" s="2">
        <v>0.00562173822682097</v>
      </c>
      <c r="D157" s="1" t="s">
        <v>399</v>
      </c>
      <c r="E157" s="2">
        <v>-0.0456947399741462</v>
      </c>
      <c r="F157" s="2">
        <v>0.0952044308707162</v>
      </c>
    </row>
    <row r="158" spans="1:6">
      <c r="A158" s="1" t="s">
        <v>108</v>
      </c>
      <c r="B158" s="2">
        <v>0.0160172092351382</v>
      </c>
      <c r="C158" s="2">
        <v>0.0160172092351382</v>
      </c>
      <c r="D158" s="1" t="s">
        <v>399</v>
      </c>
      <c r="E158" s="2">
        <v>-0.0456947399741462</v>
      </c>
      <c r="F158" s="2">
        <v>0.0952044308707162</v>
      </c>
    </row>
    <row r="159" spans="1:6">
      <c r="A159" s="1" t="s">
        <v>108</v>
      </c>
      <c r="B159" s="2">
        <v>0.0207654089888306</v>
      </c>
      <c r="C159" s="2">
        <v>0.0207654089888306</v>
      </c>
      <c r="D159" s="1" t="s">
        <v>399</v>
      </c>
      <c r="E159" s="2">
        <v>-0.0456947399741462</v>
      </c>
      <c r="F159" s="2">
        <v>0.0952044308707162</v>
      </c>
    </row>
    <row r="160" spans="1:6">
      <c r="A160" s="1" t="s">
        <v>108</v>
      </c>
      <c r="B160" s="2">
        <v>0.0121635631143613</v>
      </c>
      <c r="C160" s="2">
        <v>0.0121635631143613</v>
      </c>
      <c r="D160" s="1" t="s">
        <v>399</v>
      </c>
      <c r="E160" s="2">
        <v>-0.0456947399741462</v>
      </c>
      <c r="F160" s="2">
        <v>0.0952044308707162</v>
      </c>
    </row>
    <row r="161" spans="1:6">
      <c r="A161" s="1" t="s">
        <v>108</v>
      </c>
      <c r="B161" s="2">
        <v>0.0288365314160124</v>
      </c>
      <c r="C161" s="2">
        <v>0.0288365314160124</v>
      </c>
      <c r="D161" s="1" t="s">
        <v>399</v>
      </c>
      <c r="E161" s="2">
        <v>-0.0456947399741462</v>
      </c>
      <c r="F161" s="2">
        <v>0.0952044308707162</v>
      </c>
    </row>
    <row r="162" spans="1:6">
      <c r="A162" s="1" t="s">
        <v>108</v>
      </c>
      <c r="B162" s="2">
        <v>0.0629828062845713</v>
      </c>
      <c r="C162" s="2">
        <v>0.0629828062845713</v>
      </c>
      <c r="D162" s="1" t="s">
        <v>399</v>
      </c>
      <c r="E162" s="2">
        <v>-0.0456947399741462</v>
      </c>
      <c r="F162" s="2">
        <v>0.0952044308707162</v>
      </c>
    </row>
    <row r="163" spans="1:6">
      <c r="A163" s="1" t="s">
        <v>108</v>
      </c>
      <c r="B163" s="2">
        <v>0.00618806425804504</v>
      </c>
      <c r="C163" s="2">
        <v>0.00618806425804504</v>
      </c>
      <c r="D163" s="1" t="s">
        <v>399</v>
      </c>
      <c r="E163" s="2">
        <v>-0.0456947399741462</v>
      </c>
      <c r="F163" s="2">
        <v>0.0952044308707162</v>
      </c>
    </row>
    <row r="164" spans="1:6">
      <c r="A164" s="1" t="s">
        <v>108</v>
      </c>
      <c r="B164" s="2">
        <v>0.0418247131734263</v>
      </c>
      <c r="C164" s="2">
        <v>0.0418247131734263</v>
      </c>
      <c r="D164" s="1" t="s">
        <v>399</v>
      </c>
      <c r="E164" s="2">
        <v>-0.0456947399741462</v>
      </c>
      <c r="F164" s="2">
        <v>0.0952044308707162</v>
      </c>
    </row>
    <row r="165" spans="1:6">
      <c r="A165" s="1" t="s">
        <v>108</v>
      </c>
      <c r="B165" s="2">
        <v>0.167745629707237</v>
      </c>
      <c r="C165" s="2">
        <v>0.167745629707237</v>
      </c>
      <c r="D165" s="1" t="s">
        <v>400</v>
      </c>
      <c r="E165" s="2">
        <v>-0.0456947399741462</v>
      </c>
      <c r="F165" s="2">
        <v>0.0952044308707162</v>
      </c>
    </row>
    <row r="166" spans="1:6">
      <c r="A166" s="1" t="s">
        <v>108</v>
      </c>
      <c r="B166" s="2">
        <v>0.000498482133836549</v>
      </c>
      <c r="C166" s="2">
        <v>0.000498482133836549</v>
      </c>
      <c r="D166" s="1" t="s">
        <v>399</v>
      </c>
      <c r="E166" s="2">
        <v>-0.0456947399741462</v>
      </c>
      <c r="F166" s="2">
        <v>0.0952044308707162</v>
      </c>
    </row>
    <row r="167" spans="1:6">
      <c r="A167" s="1" t="s">
        <v>108</v>
      </c>
      <c r="B167" s="2">
        <v>0.0164015936562683</v>
      </c>
      <c r="C167" s="2">
        <v>0.0164015936562683</v>
      </c>
      <c r="D167" s="1" t="s">
        <v>399</v>
      </c>
      <c r="E167" s="2">
        <v>-0.0456947399741462</v>
      </c>
      <c r="F167" s="2">
        <v>0.0952044308707162</v>
      </c>
    </row>
    <row r="168" spans="1:6">
      <c r="A168" s="1" t="s">
        <v>108</v>
      </c>
      <c r="B168" s="2">
        <v>0.512682333127564</v>
      </c>
      <c r="C168" s="2">
        <v>0.512682333127564</v>
      </c>
      <c r="D168" s="1" t="s">
        <v>400</v>
      </c>
      <c r="E168" s="2">
        <v>-0.0456947399741462</v>
      </c>
      <c r="F168" s="2">
        <v>0.0952044308707162</v>
      </c>
    </row>
    <row r="169" spans="1:6">
      <c r="A169" s="1" t="s">
        <v>108</v>
      </c>
      <c r="B169" s="2">
        <v>0.0032953771140782</v>
      </c>
      <c r="C169" s="2">
        <v>0.0032953771140782</v>
      </c>
      <c r="D169" s="1" t="s">
        <v>399</v>
      </c>
      <c r="E169" s="2">
        <v>-0.0456947399741462</v>
      </c>
      <c r="F169" s="2">
        <v>0.0952044308707162</v>
      </c>
    </row>
    <row r="170" spans="1:6">
      <c r="A170" s="1" t="s">
        <v>108</v>
      </c>
      <c r="B170" s="2">
        <v>0.0149039553155347</v>
      </c>
      <c r="C170" s="2">
        <v>0.0149039553155347</v>
      </c>
      <c r="D170" s="1" t="s">
        <v>399</v>
      </c>
      <c r="E170" s="2">
        <v>-0.0456947399741462</v>
      </c>
      <c r="F170" s="2">
        <v>0.0952044308707162</v>
      </c>
    </row>
    <row r="171" spans="1:6">
      <c r="A171" s="1" t="s">
        <v>108</v>
      </c>
      <c r="B171" s="2">
        <v>0.0320223317051145</v>
      </c>
      <c r="C171" s="2">
        <v>0.0320223317051145</v>
      </c>
      <c r="D171" s="1" t="s">
        <v>399</v>
      </c>
      <c r="E171" s="2">
        <v>-0.0456947399741462</v>
      </c>
      <c r="F171" s="2">
        <v>0.0952044308707162</v>
      </c>
    </row>
    <row r="172" spans="1:6">
      <c r="A172" s="1" t="s">
        <v>108</v>
      </c>
      <c r="B172" s="2">
        <v>0.0213821985161558</v>
      </c>
      <c r="C172" s="2">
        <v>0.0213821985161558</v>
      </c>
      <c r="D172" s="1" t="s">
        <v>399</v>
      </c>
      <c r="E172" s="2">
        <v>-0.0456947399741462</v>
      </c>
      <c r="F172" s="2">
        <v>0.0952044308707162</v>
      </c>
    </row>
    <row r="173" spans="1:6">
      <c r="A173" s="1" t="s">
        <v>108</v>
      </c>
      <c r="B173" s="2">
        <v>0.038057779103223</v>
      </c>
      <c r="C173" s="2">
        <v>0.038057779103223</v>
      </c>
      <c r="D173" s="1" t="s">
        <v>399</v>
      </c>
      <c r="E173" s="2">
        <v>-0.0456947399741462</v>
      </c>
      <c r="F173" s="2">
        <v>0.0952044308707162</v>
      </c>
    </row>
    <row r="174" spans="1:6">
      <c r="A174" s="1" t="s">
        <v>108</v>
      </c>
      <c r="B174" s="2">
        <v>0.00320212817453902</v>
      </c>
      <c r="C174" s="2">
        <v>0.00320212817453902</v>
      </c>
      <c r="D174" s="1" t="s">
        <v>399</v>
      </c>
      <c r="E174" s="2">
        <v>-0.0456947399741462</v>
      </c>
      <c r="F174" s="2">
        <v>0.0952044308707162</v>
      </c>
    </row>
    <row r="175" spans="1:6">
      <c r="A175" s="1" t="s">
        <v>108</v>
      </c>
      <c r="B175" s="2">
        <v>0.0106782374187016</v>
      </c>
      <c r="C175" s="2">
        <v>0.0106782374187016</v>
      </c>
      <c r="D175" s="1" t="s">
        <v>399</v>
      </c>
      <c r="E175" s="2">
        <v>-0.0456947399741462</v>
      </c>
      <c r="F175" s="2">
        <v>0.0952044308707162</v>
      </c>
    </row>
    <row r="176" spans="1:6">
      <c r="A176" s="1" t="s">
        <v>108</v>
      </c>
      <c r="B176" s="2">
        <v>0.0108587754786079</v>
      </c>
      <c r="C176" s="2">
        <v>0.0108587754786079</v>
      </c>
      <c r="D176" s="1" t="s">
        <v>399</v>
      </c>
      <c r="E176" s="2">
        <v>-0.0456947399741462</v>
      </c>
      <c r="F176" s="2">
        <v>0.0952044308707162</v>
      </c>
    </row>
    <row r="177" spans="1:6">
      <c r="A177" s="1" t="s">
        <v>108</v>
      </c>
      <c r="B177" s="2">
        <v>0.00981765967549915</v>
      </c>
      <c r="C177" s="2">
        <v>0.00981765967549915</v>
      </c>
      <c r="D177" s="1" t="s">
        <v>399</v>
      </c>
      <c r="E177" s="2">
        <v>-0.0456947399741462</v>
      </c>
      <c r="F177" s="2">
        <v>0.0952044308707162</v>
      </c>
    </row>
    <row r="178" spans="1:6">
      <c r="A178" s="1" t="s">
        <v>108</v>
      </c>
      <c r="B178" s="2">
        <v>0.0463922003678017</v>
      </c>
      <c r="C178" s="2">
        <v>0.0463922003678017</v>
      </c>
      <c r="D178" s="1" t="s">
        <v>399</v>
      </c>
      <c r="E178" s="2">
        <v>-0.0456947399741462</v>
      </c>
      <c r="F178" s="2">
        <v>0.0952044308707162</v>
      </c>
    </row>
    <row r="179" spans="1:6">
      <c r="A179" s="1" t="s">
        <v>108</v>
      </c>
      <c r="B179" s="2">
        <v>0.152948182935</v>
      </c>
      <c r="C179" s="2">
        <v>0.152948182935</v>
      </c>
      <c r="D179" s="1" t="s">
        <v>400</v>
      </c>
      <c r="E179" s="2">
        <v>-0.0456947399741462</v>
      </c>
      <c r="F179" s="2">
        <v>0.0952044308707162</v>
      </c>
    </row>
    <row r="180" spans="1:6">
      <c r="A180" s="1" t="s">
        <v>108</v>
      </c>
      <c r="B180" s="2">
        <v>0.0373413550675002</v>
      </c>
      <c r="C180" s="2">
        <v>0.0373413550675002</v>
      </c>
      <c r="D180" s="1" t="s">
        <v>399</v>
      </c>
      <c r="E180" s="2">
        <v>-0.0456947399741462</v>
      </c>
      <c r="F180" s="2">
        <v>0.0952044308707162</v>
      </c>
    </row>
    <row r="181" spans="1:6">
      <c r="A181" s="1" t="s">
        <v>108</v>
      </c>
      <c r="B181" s="2">
        <v>0.0899159223771141</v>
      </c>
      <c r="C181" s="2">
        <v>0.0899159223771141</v>
      </c>
      <c r="D181" s="1" t="s">
        <v>399</v>
      </c>
      <c r="E181" s="2">
        <v>-0.0456947399741462</v>
      </c>
      <c r="F181" s="2">
        <v>0.0952044308707162</v>
      </c>
    </row>
    <row r="182" spans="1:6">
      <c r="A182" s="1" t="s">
        <v>108</v>
      </c>
      <c r="B182" s="2">
        <v>0.00463958682843951</v>
      </c>
      <c r="C182" s="2">
        <v>0.00463958682843951</v>
      </c>
      <c r="D182" s="1" t="s">
        <v>399</v>
      </c>
      <c r="E182" s="2">
        <v>-0.0456947399741462</v>
      </c>
      <c r="F182" s="2">
        <v>0.0952044308707162</v>
      </c>
    </row>
    <row r="183" spans="1:6">
      <c r="A183" s="1" t="s">
        <v>108</v>
      </c>
      <c r="B183" s="2">
        <v>0.0852488836701044</v>
      </c>
      <c r="C183" s="2">
        <v>0.0852488836701044</v>
      </c>
      <c r="D183" s="1" t="s">
        <v>399</v>
      </c>
      <c r="E183" s="2">
        <v>-0.0456947399741462</v>
      </c>
      <c r="F183" s="2">
        <v>0.0952044308707162</v>
      </c>
    </row>
    <row r="184" spans="1:6">
      <c r="A184" s="1" t="s">
        <v>108</v>
      </c>
      <c r="B184" s="2">
        <v>0.0444174239750504</v>
      </c>
      <c r="C184" s="2">
        <v>0.0444174239750504</v>
      </c>
      <c r="D184" s="1" t="s">
        <v>399</v>
      </c>
      <c r="E184" s="2">
        <v>-0.0456947399741462</v>
      </c>
      <c r="F184" s="2">
        <v>0.0952044308707162</v>
      </c>
    </row>
    <row r="185" spans="1:6">
      <c r="A185" s="1" t="s">
        <v>108</v>
      </c>
      <c r="B185" s="2">
        <v>0.0178020619146679</v>
      </c>
      <c r="C185" s="2">
        <v>0.0178020619146679</v>
      </c>
      <c r="D185" s="1" t="s">
        <v>399</v>
      </c>
      <c r="E185" s="2">
        <v>-0.0456947399741462</v>
      </c>
      <c r="F185" s="2">
        <v>0.0952044308707162</v>
      </c>
    </row>
    <row r="186" spans="1:6">
      <c r="A186" s="1" t="s">
        <v>108</v>
      </c>
      <c r="B186" s="2">
        <v>0.0158351067058282</v>
      </c>
      <c r="C186" s="2">
        <v>0.0158351067058282</v>
      </c>
      <c r="D186" s="1" t="s">
        <v>399</v>
      </c>
      <c r="E186" s="2">
        <v>-0.0456947399741462</v>
      </c>
      <c r="F186" s="2">
        <v>0.0952044308707162</v>
      </c>
    </row>
    <row r="187" spans="1:6">
      <c r="A187" s="1" t="s">
        <v>108</v>
      </c>
      <c r="B187" s="2">
        <v>0.128611743901391</v>
      </c>
      <c r="C187" s="2">
        <v>0.128611743901391</v>
      </c>
      <c r="D187" s="1" t="s">
        <v>400</v>
      </c>
      <c r="E187" s="2">
        <v>-0.0456947399741462</v>
      </c>
      <c r="F187" s="2">
        <v>0.0952044308707162</v>
      </c>
    </row>
    <row r="188" spans="1:6">
      <c r="A188" s="1" t="s">
        <v>108</v>
      </c>
      <c r="B188" s="2">
        <v>0.00928761745394455</v>
      </c>
      <c r="C188" s="2">
        <v>0.00928761745394455</v>
      </c>
      <c r="D188" s="1" t="s">
        <v>399</v>
      </c>
      <c r="E188" s="2">
        <v>-0.0456947399741462</v>
      </c>
      <c r="F188" s="2">
        <v>0.0952044308707162</v>
      </c>
    </row>
    <row r="189" spans="1:6">
      <c r="A189" s="1" t="s">
        <v>108</v>
      </c>
      <c r="B189" s="2">
        <v>0.0454980246706453</v>
      </c>
      <c r="C189" s="2">
        <v>0.0454980246706453</v>
      </c>
      <c r="D189" s="1" t="s">
        <v>399</v>
      </c>
      <c r="E189" s="2">
        <v>-0.0456947399741462</v>
      </c>
      <c r="F189" s="2">
        <v>0.0952044308707162</v>
      </c>
    </row>
    <row r="190" spans="1:6">
      <c r="A190" s="1" t="s">
        <v>108</v>
      </c>
      <c r="B190" s="2">
        <v>0.0260135159231857</v>
      </c>
      <c r="C190" s="2">
        <v>0.0260135159231857</v>
      </c>
      <c r="D190" s="1" t="s">
        <v>399</v>
      </c>
      <c r="E190" s="2">
        <v>-0.0456947399741462</v>
      </c>
      <c r="F190" s="2">
        <v>0.0952044308707162</v>
      </c>
    </row>
    <row r="191" spans="1:6">
      <c r="A191" s="1" t="s">
        <v>108</v>
      </c>
      <c r="B191" s="2">
        <v>0.114714440147467</v>
      </c>
      <c r="C191" s="2">
        <v>0.114714440147467</v>
      </c>
      <c r="D191" s="1" t="s">
        <v>400</v>
      </c>
      <c r="E191" s="2">
        <v>-0.0456947399741462</v>
      </c>
      <c r="F191" s="2">
        <v>0.0952044308707162</v>
      </c>
    </row>
    <row r="192" spans="1:6">
      <c r="A192" s="1" t="s">
        <v>108</v>
      </c>
      <c r="B192" s="2">
        <v>0.00172639610586681</v>
      </c>
      <c r="C192" s="2">
        <v>0.00172639610586681</v>
      </c>
      <c r="D192" s="1" t="s">
        <v>399</v>
      </c>
      <c r="E192" s="2">
        <v>-0.0456947399741462</v>
      </c>
      <c r="F192" s="2">
        <v>0.0952044308707162</v>
      </c>
    </row>
    <row r="193" spans="1:6">
      <c r="A193" s="1" t="s">
        <v>108</v>
      </c>
      <c r="B193" s="2">
        <v>0.00586924694450137</v>
      </c>
      <c r="C193" s="2">
        <v>0.00586924694450137</v>
      </c>
      <c r="D193" s="1" t="s">
        <v>399</v>
      </c>
      <c r="E193" s="2">
        <v>-0.0456947399741462</v>
      </c>
      <c r="F193" s="2">
        <v>0.0952044308707162</v>
      </c>
    </row>
    <row r="194" spans="1:6">
      <c r="A194" s="1" t="s">
        <v>108</v>
      </c>
      <c r="B194" s="2">
        <v>0.0423672418038928</v>
      </c>
      <c r="C194" s="2">
        <v>0.0423672418038928</v>
      </c>
      <c r="D194" s="1" t="s">
        <v>399</v>
      </c>
      <c r="E194" s="2">
        <v>-0.0456947399741462</v>
      </c>
      <c r="F194" s="2">
        <v>0.0952044308707162</v>
      </c>
    </row>
    <row r="195" spans="1:6">
      <c r="A195" s="1" t="s">
        <v>108</v>
      </c>
      <c r="B195" s="2">
        <v>0.00714244909267719</v>
      </c>
      <c r="C195" s="2">
        <v>0.00714244909267719</v>
      </c>
      <c r="D195" s="1" t="s">
        <v>399</v>
      </c>
      <c r="E195" s="2">
        <v>-0.0456947399741462</v>
      </c>
      <c r="F195" s="2">
        <v>0.0952044308707162</v>
      </c>
    </row>
    <row r="196" spans="1:6">
      <c r="A196" s="1" t="s">
        <v>108</v>
      </c>
      <c r="B196" s="2">
        <v>0.00442489197659906</v>
      </c>
      <c r="C196" s="2">
        <v>0.00442489197659906</v>
      </c>
      <c r="D196" s="1" t="s">
        <v>399</v>
      </c>
      <c r="E196" s="2">
        <v>-0.0456947399741462</v>
      </c>
      <c r="F196" s="2">
        <v>0.0952044308707162</v>
      </c>
    </row>
    <row r="197" spans="1:6">
      <c r="A197" s="1" t="s">
        <v>108</v>
      </c>
      <c r="B197" s="2">
        <v>0.0407859422476365</v>
      </c>
      <c r="C197" s="2">
        <v>0.0407859422476365</v>
      </c>
      <c r="D197" s="1" t="s">
        <v>399</v>
      </c>
      <c r="E197" s="2">
        <v>-0.0456947399741462</v>
      </c>
      <c r="F197" s="2">
        <v>0.0952044308707162</v>
      </c>
    </row>
    <row r="198" spans="1:6">
      <c r="A198" s="1" t="s">
        <v>108</v>
      </c>
      <c r="B198" s="2">
        <v>0.0565975062042721</v>
      </c>
      <c r="C198" s="2">
        <v>0.0565975062042721</v>
      </c>
      <c r="D198" s="1" t="s">
        <v>399</v>
      </c>
      <c r="E198" s="2">
        <v>-0.0456947399741462</v>
      </c>
      <c r="F198" s="2">
        <v>0.0952044308707162</v>
      </c>
    </row>
    <row r="199" spans="1:6">
      <c r="A199" s="1" t="s">
        <v>139</v>
      </c>
      <c r="B199" s="2">
        <v>0.0939030840762657</v>
      </c>
      <c r="C199" s="2">
        <v>0.0939030840762657</v>
      </c>
      <c r="D199" s="1" t="s">
        <v>399</v>
      </c>
      <c r="E199" s="2">
        <v>-0.0892054788061144</v>
      </c>
      <c r="F199" s="2">
        <v>0.168608852215734</v>
      </c>
    </row>
    <row r="200" spans="1:6">
      <c r="A200" s="1" t="s">
        <v>154</v>
      </c>
      <c r="B200" s="2">
        <v>0.0024103675451643</v>
      </c>
      <c r="C200" s="2">
        <v>0.0024103675451643</v>
      </c>
      <c r="D200" s="1" t="s">
        <v>399</v>
      </c>
      <c r="E200" s="2">
        <v>-0.04647125034</v>
      </c>
      <c r="F200" s="2">
        <v>0.0964600839</v>
      </c>
    </row>
    <row r="201" spans="1:6">
      <c r="A201" s="1" t="s">
        <v>154</v>
      </c>
      <c r="B201" s="2">
        <v>0.0259579411624551</v>
      </c>
      <c r="C201" s="2">
        <v>0.0259579411624551</v>
      </c>
      <c r="D201" s="1" t="s">
        <v>399</v>
      </c>
      <c r="E201" s="2">
        <v>-0.04647125034</v>
      </c>
      <c r="F201" s="2">
        <v>0.0964600839</v>
      </c>
    </row>
    <row r="202" spans="1:6">
      <c r="A202" s="1" t="s">
        <v>154</v>
      </c>
      <c r="B202" s="2">
        <v>0.00759879520180113</v>
      </c>
      <c r="C202" s="2">
        <v>0.00759879520180113</v>
      </c>
      <c r="D202" s="1" t="s">
        <v>399</v>
      </c>
      <c r="E202" s="2">
        <v>-0.04647125034</v>
      </c>
      <c r="F202" s="2">
        <v>0.0964600839</v>
      </c>
    </row>
    <row r="203" spans="1:6">
      <c r="A203" s="1" t="s">
        <v>173</v>
      </c>
      <c r="B203" s="2">
        <v>0.0565750402907455</v>
      </c>
      <c r="C203" s="2">
        <v>0.0565750402907455</v>
      </c>
      <c r="D203" s="1" t="s">
        <v>399</v>
      </c>
      <c r="E203" s="2" t="s">
        <v>401</v>
      </c>
      <c r="F203" s="2" t="s">
        <v>401</v>
      </c>
    </row>
    <row r="204" spans="1:6">
      <c r="A204" s="1" t="s">
        <v>173</v>
      </c>
      <c r="B204" s="2">
        <v>0.00552344969653549</v>
      </c>
      <c r="C204" s="2">
        <v>0.00552344969653549</v>
      </c>
      <c r="D204" s="1" t="s">
        <v>399</v>
      </c>
      <c r="E204" s="2" t="s">
        <v>401</v>
      </c>
      <c r="F204" s="2" t="s">
        <v>401</v>
      </c>
    </row>
    <row r="205" spans="1:6">
      <c r="A205" s="1" t="s">
        <v>112</v>
      </c>
      <c r="B205" s="2">
        <v>0.209175610632071</v>
      </c>
      <c r="C205" s="2">
        <v>0.209175610632071</v>
      </c>
      <c r="D205" s="1" t="s">
        <v>400</v>
      </c>
      <c r="E205" s="2">
        <v>-0.0263391357448184</v>
      </c>
      <c r="F205" s="2">
        <v>0.0657234814468911</v>
      </c>
    </row>
    <row r="206" spans="1:6">
      <c r="A206" s="1" t="s">
        <v>108</v>
      </c>
      <c r="B206" s="2">
        <v>0.034494547230012</v>
      </c>
      <c r="C206" s="2">
        <v>0.034494547230012</v>
      </c>
      <c r="D206" s="1" t="s">
        <v>399</v>
      </c>
      <c r="E206" s="2">
        <v>-0.0456947399741462</v>
      </c>
      <c r="F206" s="2">
        <v>0.0952044308707162</v>
      </c>
    </row>
    <row r="207" spans="1:6">
      <c r="A207" s="1" t="s">
        <v>108</v>
      </c>
      <c r="B207" s="2">
        <v>0.0079876135306063</v>
      </c>
      <c r="C207" s="2">
        <v>0.0079876135306063</v>
      </c>
      <c r="D207" s="1" t="s">
        <v>399</v>
      </c>
      <c r="E207" s="2">
        <v>-0.0456947399741462</v>
      </c>
      <c r="F207" s="2">
        <v>0.0952044308707162</v>
      </c>
    </row>
    <row r="208" spans="1:6">
      <c r="A208" s="1" t="s">
        <v>108</v>
      </c>
      <c r="B208" s="2">
        <v>0.047793293194758</v>
      </c>
      <c r="C208" s="2">
        <v>0.047793293194758</v>
      </c>
      <c r="D208" s="1" t="s">
        <v>399</v>
      </c>
      <c r="E208" s="2">
        <v>-0.0456947399741462</v>
      </c>
      <c r="F208" s="2">
        <v>0.0952044308707162</v>
      </c>
    </row>
    <row r="209" spans="1:6">
      <c r="A209" s="1" t="s">
        <v>108</v>
      </c>
      <c r="B209" s="2">
        <v>0.0263042698746421</v>
      </c>
      <c r="C209" s="2">
        <v>0.0263042698746421</v>
      </c>
      <c r="D209" s="1" t="s">
        <v>399</v>
      </c>
      <c r="E209" s="2">
        <v>-0.0456947399741462</v>
      </c>
      <c r="F209" s="2">
        <v>0.0952044308707162</v>
      </c>
    </row>
    <row r="210" spans="1:6">
      <c r="A210" s="1" t="s">
        <v>108</v>
      </c>
      <c r="B210" s="2">
        <v>0.0183105853857354</v>
      </c>
      <c r="C210" s="2">
        <v>0.0183105853857354</v>
      </c>
      <c r="D210" s="1" t="s">
        <v>399</v>
      </c>
      <c r="E210" s="2">
        <v>-0.0456947399741462</v>
      </c>
      <c r="F210" s="2">
        <v>0.0952044308707162</v>
      </c>
    </row>
    <row r="211" spans="1:6">
      <c r="A211" s="1" t="s">
        <v>108</v>
      </c>
      <c r="B211" s="2">
        <v>0.202176500487193</v>
      </c>
      <c r="C211" s="2">
        <v>0.202176500487193</v>
      </c>
      <c r="D211" s="1" t="s">
        <v>400</v>
      </c>
      <c r="E211" s="2">
        <v>-0.0456947399741462</v>
      </c>
      <c r="F211" s="2">
        <v>0.0952044308707162</v>
      </c>
    </row>
    <row r="212" spans="1:6">
      <c r="A212" s="1" t="s">
        <v>174</v>
      </c>
      <c r="B212" s="2">
        <v>0.0186130646873089</v>
      </c>
      <c r="C212" s="2">
        <v>0.0186130646873089</v>
      </c>
      <c r="D212" s="1" t="s">
        <v>399</v>
      </c>
      <c r="E212" s="2">
        <v>-0.0425597562010586</v>
      </c>
      <c r="F212" s="2">
        <v>0.117938538312881</v>
      </c>
    </row>
    <row r="213" spans="1:6">
      <c r="A213" s="1" t="s">
        <v>174</v>
      </c>
      <c r="B213" s="2">
        <v>0.0480224635898103</v>
      </c>
      <c r="C213" s="2">
        <v>0.0480224635898103</v>
      </c>
      <c r="D213" s="1" t="s">
        <v>399</v>
      </c>
      <c r="E213" s="2">
        <v>-0.0425597562010586</v>
      </c>
      <c r="F213" s="2">
        <v>0.117938538312881</v>
      </c>
    </row>
    <row r="214" spans="1:6">
      <c r="A214" s="1" t="s">
        <v>174</v>
      </c>
      <c r="B214" s="2">
        <v>0.164839334058899</v>
      </c>
      <c r="C214" s="2">
        <v>0.164839334058899</v>
      </c>
      <c r="D214" s="1" t="s">
        <v>400</v>
      </c>
      <c r="E214" s="2">
        <v>-0.0425597562010586</v>
      </c>
      <c r="F214" s="2">
        <v>0.117938538312881</v>
      </c>
    </row>
    <row r="215" spans="1:6">
      <c r="A215" s="1" t="s">
        <v>174</v>
      </c>
      <c r="B215" s="2">
        <v>0.0111578684042025</v>
      </c>
      <c r="C215" s="2">
        <v>0.0111578684042025</v>
      </c>
      <c r="D215" s="1" t="s">
        <v>399</v>
      </c>
      <c r="E215" s="2">
        <v>-0.0425597562010586</v>
      </c>
      <c r="F215" s="2">
        <v>0.117938538312881</v>
      </c>
    </row>
    <row r="216" spans="1:6">
      <c r="A216" s="1" t="s">
        <v>174</v>
      </c>
      <c r="B216" s="2">
        <v>0.0172984507597886</v>
      </c>
      <c r="C216" s="2">
        <v>0.0172984507597886</v>
      </c>
      <c r="D216" s="1" t="s">
        <v>399</v>
      </c>
      <c r="E216" s="2">
        <v>-0.0425597562010586</v>
      </c>
      <c r="F216" s="2">
        <v>0.117938538312881</v>
      </c>
    </row>
    <row r="217" spans="1:6">
      <c r="A217" s="1" t="s">
        <v>174</v>
      </c>
      <c r="B217" s="2">
        <v>0.196258419611216</v>
      </c>
      <c r="C217" s="2">
        <v>0.196258419611216</v>
      </c>
      <c r="D217" s="1" t="s">
        <v>400</v>
      </c>
      <c r="E217" s="2">
        <v>-0.0425597562010586</v>
      </c>
      <c r="F217" s="2">
        <v>0.117938538312881</v>
      </c>
    </row>
    <row r="218" spans="1:6">
      <c r="A218" s="1" t="s">
        <v>174</v>
      </c>
      <c r="B218" s="2">
        <v>0.00571653584429778</v>
      </c>
      <c r="C218" s="2">
        <v>0.00571653584429778</v>
      </c>
      <c r="D218" s="1" t="s">
        <v>399</v>
      </c>
      <c r="E218" s="2">
        <v>-0.0425597562010586</v>
      </c>
      <c r="F218" s="2">
        <v>0.117938538312881</v>
      </c>
    </row>
    <row r="219" spans="1:6">
      <c r="A219" s="1" t="s">
        <v>174</v>
      </c>
      <c r="B219" s="2">
        <v>0.0583044327733694</v>
      </c>
      <c r="C219" s="2">
        <v>0.0583044327733694</v>
      </c>
      <c r="D219" s="1" t="s">
        <v>399</v>
      </c>
      <c r="E219" s="2">
        <v>-0.0425597562010586</v>
      </c>
      <c r="F219" s="2">
        <v>0.117938538312881</v>
      </c>
    </row>
    <row r="220" spans="1:6">
      <c r="A220" s="1" t="s">
        <v>174</v>
      </c>
      <c r="B220" s="2">
        <v>0.0465471403696199</v>
      </c>
      <c r="C220" s="2">
        <v>0.0465471403696199</v>
      </c>
      <c r="D220" s="1" t="s">
        <v>399</v>
      </c>
      <c r="E220" s="2">
        <v>-0.0425597562010586</v>
      </c>
      <c r="F220" s="2">
        <v>0.117938538312881</v>
      </c>
    </row>
    <row r="221" spans="1:6">
      <c r="A221" s="1" t="s">
        <v>174</v>
      </c>
      <c r="B221" s="2">
        <v>0.0560934131605059</v>
      </c>
      <c r="C221" s="2">
        <v>0.0560934131605059</v>
      </c>
      <c r="D221" s="1" t="s">
        <v>399</v>
      </c>
      <c r="E221" s="2">
        <v>-0.0425597562010586</v>
      </c>
      <c r="F221" s="2">
        <v>0.117938538312881</v>
      </c>
    </row>
    <row r="222" spans="1:6">
      <c r="A222" s="1" t="s">
        <v>154</v>
      </c>
      <c r="B222" s="2">
        <v>0.00698576825935506</v>
      </c>
      <c r="C222" s="2">
        <v>0.00698576825935506</v>
      </c>
      <c r="D222" s="1" t="s">
        <v>399</v>
      </c>
      <c r="E222" s="2">
        <v>-0.04647125034</v>
      </c>
      <c r="F222" s="2">
        <v>0.0964600839</v>
      </c>
    </row>
    <row r="223" spans="1:6">
      <c r="A223" s="1" t="s">
        <v>154</v>
      </c>
      <c r="B223" s="2">
        <v>0.0443621263539197</v>
      </c>
      <c r="C223" s="2">
        <v>0.0443621263539197</v>
      </c>
      <c r="D223" s="1" t="s">
        <v>399</v>
      </c>
      <c r="E223" s="2">
        <v>-0.04647125034</v>
      </c>
      <c r="F223" s="2">
        <v>0.0964600839</v>
      </c>
    </row>
    <row r="224" spans="1:6">
      <c r="A224" s="1" t="s">
        <v>154</v>
      </c>
      <c r="B224" s="2">
        <v>0.0830787887692962</v>
      </c>
      <c r="C224" s="2">
        <v>0.0830787887692962</v>
      </c>
      <c r="D224" s="1" t="s">
        <v>399</v>
      </c>
      <c r="E224" s="2">
        <v>-0.04647125034</v>
      </c>
      <c r="F224" s="2">
        <v>0.0964600839</v>
      </c>
    </row>
    <row r="225" spans="1:6">
      <c r="A225" s="1" t="s">
        <v>136</v>
      </c>
      <c r="B225" s="2">
        <v>0.00296325915631923</v>
      </c>
      <c r="C225" s="2">
        <v>0.00296325915631923</v>
      </c>
      <c r="D225" s="1" t="s">
        <v>399</v>
      </c>
      <c r="E225" s="2">
        <v>-0.0158327814218132</v>
      </c>
      <c r="F225" s="2">
        <v>0.0478996688530879</v>
      </c>
    </row>
    <row r="226" spans="1:6">
      <c r="A226" s="1" t="s">
        <v>136</v>
      </c>
      <c r="B226" s="2">
        <v>0.0137077368381904</v>
      </c>
      <c r="C226" s="2">
        <v>0.0137077368381904</v>
      </c>
      <c r="D226" s="1" t="s">
        <v>399</v>
      </c>
      <c r="E226" s="2">
        <v>-0.0158327814218132</v>
      </c>
      <c r="F226" s="2">
        <v>0.0478996688530879</v>
      </c>
    </row>
    <row r="227" spans="1:6">
      <c r="A227" s="1" t="s">
        <v>136</v>
      </c>
      <c r="B227" s="2">
        <v>0.0106035279151394</v>
      </c>
      <c r="C227" s="2">
        <v>0.0106035279151394</v>
      </c>
      <c r="D227" s="1" t="s">
        <v>399</v>
      </c>
      <c r="E227" s="2">
        <v>-0.0158327814218132</v>
      </c>
      <c r="F227" s="2">
        <v>0.0478996688530879</v>
      </c>
    </row>
    <row r="228" spans="1:6">
      <c r="A228" s="1" t="s">
        <v>117</v>
      </c>
      <c r="B228" s="2">
        <v>0.0306907001816571</v>
      </c>
      <c r="C228" s="2">
        <v>0.0306907001816571</v>
      </c>
      <c r="D228" s="1" t="s">
        <v>399</v>
      </c>
      <c r="E228" s="2">
        <v>-0.0463423350789439</v>
      </c>
      <c r="F228" s="2">
        <v>0.0819725902109383</v>
      </c>
    </row>
    <row r="229" spans="1:6">
      <c r="A229" s="1" t="s">
        <v>154</v>
      </c>
      <c r="B229" s="2">
        <v>0.0382480435820329</v>
      </c>
      <c r="C229" s="2">
        <v>0.0382480435820329</v>
      </c>
      <c r="D229" s="1" t="s">
        <v>399</v>
      </c>
      <c r="E229" s="2">
        <v>-0.04647125034</v>
      </c>
      <c r="F229" s="2">
        <v>0.0964600839</v>
      </c>
    </row>
    <row r="230" spans="1:6">
      <c r="A230" s="1" t="s">
        <v>117</v>
      </c>
      <c r="B230" s="2">
        <v>0.195078527468857</v>
      </c>
      <c r="C230" s="2">
        <v>0.195078527468857</v>
      </c>
      <c r="D230" s="1" t="s">
        <v>400</v>
      </c>
      <c r="E230" s="2">
        <v>-0.0463423350789439</v>
      </c>
      <c r="F230" s="2">
        <v>0.0819725902109383</v>
      </c>
    </row>
    <row r="231" spans="1:6">
      <c r="A231" s="1" t="s">
        <v>136</v>
      </c>
      <c r="B231" s="2">
        <v>0.0691571649216324</v>
      </c>
      <c r="C231" s="2">
        <v>0.0691571649216324</v>
      </c>
      <c r="D231" s="1" t="s">
        <v>400</v>
      </c>
      <c r="E231" s="2">
        <v>-0.0158327814218132</v>
      </c>
      <c r="F231" s="2">
        <v>0.0478996688530879</v>
      </c>
    </row>
    <row r="232" spans="1:6">
      <c r="A232" s="1" t="s">
        <v>136</v>
      </c>
      <c r="B232" s="2">
        <v>0.00653377486254947</v>
      </c>
      <c r="C232" s="2">
        <v>0.00653377486254947</v>
      </c>
      <c r="D232" s="1" t="s">
        <v>399</v>
      </c>
      <c r="E232" s="2">
        <v>-0.0158327814218132</v>
      </c>
      <c r="F232" s="2">
        <v>0.0478996688530879</v>
      </c>
    </row>
    <row r="233" spans="1:6">
      <c r="A233" s="1" t="s">
        <v>117</v>
      </c>
      <c r="B233" s="2">
        <v>0.0166903551982435</v>
      </c>
      <c r="C233" s="2">
        <v>0.0166903551982435</v>
      </c>
      <c r="D233" s="1" t="s">
        <v>399</v>
      </c>
      <c r="E233" s="2">
        <v>-0.0463423350789439</v>
      </c>
      <c r="F233" s="2">
        <v>0.0819725902109383</v>
      </c>
    </row>
    <row r="234" spans="1:6">
      <c r="A234" s="1" t="s">
        <v>117</v>
      </c>
      <c r="B234" s="2">
        <v>0.0574529792192448</v>
      </c>
      <c r="C234" s="2">
        <v>0.0574529792192448</v>
      </c>
      <c r="D234" s="1" t="s">
        <v>399</v>
      </c>
      <c r="E234" s="2">
        <v>-0.0463423350789439</v>
      </c>
      <c r="F234" s="2">
        <v>0.0819725902109383</v>
      </c>
    </row>
    <row r="235" spans="1:6">
      <c r="A235" s="1" t="s">
        <v>136</v>
      </c>
      <c r="B235" s="2">
        <v>0.0665790687350033</v>
      </c>
      <c r="C235" s="2">
        <v>0.0665790687350033</v>
      </c>
      <c r="D235" s="1" t="s">
        <v>400</v>
      </c>
      <c r="E235" s="2">
        <v>-0.0158327814218132</v>
      </c>
      <c r="F235" s="2">
        <v>0.0478996688530879</v>
      </c>
    </row>
    <row r="236" spans="1:6">
      <c r="A236" s="1" t="s">
        <v>154</v>
      </c>
      <c r="B236" s="2">
        <v>0.0209548857417713</v>
      </c>
      <c r="C236" s="2">
        <v>0.0209548857417713</v>
      </c>
      <c r="D236" s="1" t="s">
        <v>399</v>
      </c>
      <c r="E236" s="2">
        <v>-0.04647125034</v>
      </c>
      <c r="F236" s="2">
        <v>0.0964600839</v>
      </c>
    </row>
    <row r="237" spans="1:6">
      <c r="A237" s="1" t="s">
        <v>154</v>
      </c>
      <c r="B237" s="2">
        <v>0.13871792649485</v>
      </c>
      <c r="C237" s="2">
        <v>0.13871792649485</v>
      </c>
      <c r="D237" s="1" t="s">
        <v>400</v>
      </c>
      <c r="E237" s="2">
        <v>-0.04647125034</v>
      </c>
      <c r="F237" s="2">
        <v>0.0964600839</v>
      </c>
    </row>
    <row r="238" spans="1:6">
      <c r="A238" s="1" t="s">
        <v>117</v>
      </c>
      <c r="B238" s="2">
        <v>0.0384674526844451</v>
      </c>
      <c r="C238" s="2">
        <v>0.0384674526844451</v>
      </c>
      <c r="D238" s="1" t="s">
        <v>399</v>
      </c>
      <c r="E238" s="2">
        <v>-0.0463423350789439</v>
      </c>
      <c r="F238" s="2">
        <v>0.0819725902109383</v>
      </c>
    </row>
    <row r="239" spans="1:6">
      <c r="A239" s="1" t="s">
        <v>117</v>
      </c>
      <c r="B239" s="2">
        <v>0.0281197603540182</v>
      </c>
      <c r="C239" s="2">
        <v>0.0281197603540182</v>
      </c>
      <c r="D239" s="1" t="s">
        <v>399</v>
      </c>
      <c r="E239" s="2">
        <v>-0.0463423350789439</v>
      </c>
      <c r="F239" s="2">
        <v>0.0819725902109383</v>
      </c>
    </row>
    <row r="240" spans="1:6">
      <c r="A240" s="1" t="s">
        <v>154</v>
      </c>
      <c r="B240" s="2">
        <v>0.0757402773524657</v>
      </c>
      <c r="C240" s="2">
        <v>0.0757402773524657</v>
      </c>
      <c r="D240" s="1" t="s">
        <v>399</v>
      </c>
      <c r="E240" s="2">
        <v>-0.04647125034</v>
      </c>
      <c r="F240" s="2">
        <v>0.0964600839</v>
      </c>
    </row>
    <row r="241" spans="1:6">
      <c r="A241" s="1" t="s">
        <v>117</v>
      </c>
      <c r="B241" s="2">
        <v>0.0152012795690435</v>
      </c>
      <c r="C241" s="2">
        <v>0.0152012795690435</v>
      </c>
      <c r="D241" s="1" t="s">
        <v>399</v>
      </c>
      <c r="E241" s="2">
        <v>-0.0463423350789439</v>
      </c>
      <c r="F241" s="2">
        <v>0.0819725902109383</v>
      </c>
    </row>
    <row r="242" spans="1:6">
      <c r="A242" s="1" t="s">
        <v>154</v>
      </c>
      <c r="B242" s="2">
        <v>0.076199908609265</v>
      </c>
      <c r="C242" s="2">
        <v>0.076199908609265</v>
      </c>
      <c r="D242" s="1" t="s">
        <v>399</v>
      </c>
      <c r="E242" s="2">
        <v>-0.04647125034</v>
      </c>
      <c r="F242" s="2">
        <v>0.0964600839</v>
      </c>
    </row>
    <row r="243" spans="1:6">
      <c r="A243" s="1" t="s">
        <v>154</v>
      </c>
      <c r="B243" s="2">
        <v>0.0466615722498672</v>
      </c>
      <c r="C243" s="2">
        <v>0.0466615722498672</v>
      </c>
      <c r="D243" s="1" t="s">
        <v>399</v>
      </c>
      <c r="E243" s="2">
        <v>-0.04647125034</v>
      </c>
      <c r="F243" s="2">
        <v>0.0964600839</v>
      </c>
    </row>
    <row r="244" spans="1:6">
      <c r="A244" s="1" t="s">
        <v>154</v>
      </c>
      <c r="B244" s="2">
        <v>0.04286083356</v>
      </c>
      <c r="C244" s="2">
        <v>0.04286083356</v>
      </c>
      <c r="D244" s="1" t="s">
        <v>399</v>
      </c>
      <c r="E244" s="2">
        <v>-0.04647125034</v>
      </c>
      <c r="F244" s="2">
        <v>0.0964600839</v>
      </c>
    </row>
    <row r="245" spans="1:6">
      <c r="A245" s="1" t="s">
        <v>154</v>
      </c>
      <c r="B245" s="2">
        <v>0.0531162287342624</v>
      </c>
      <c r="C245" s="2">
        <v>0.0531162287342624</v>
      </c>
      <c r="D245" s="1" t="s">
        <v>399</v>
      </c>
      <c r="E245" s="2">
        <v>-0.04647125034</v>
      </c>
      <c r="F245" s="2">
        <v>0.0964600839</v>
      </c>
    </row>
    <row r="246" spans="1:6">
      <c r="A246" s="1" t="s">
        <v>117</v>
      </c>
      <c r="B246" s="2">
        <v>0.05370484464</v>
      </c>
      <c r="C246" s="2">
        <v>0.05370484464</v>
      </c>
      <c r="D246" s="1" t="s">
        <v>399</v>
      </c>
      <c r="E246" s="2">
        <v>-0.0463423350789439</v>
      </c>
      <c r="F246" s="2">
        <v>0.0819725902109383</v>
      </c>
    </row>
    <row r="247" spans="1:6">
      <c r="A247" s="1" t="s">
        <v>117</v>
      </c>
      <c r="B247" s="2">
        <v>0.0184541996924263</v>
      </c>
      <c r="C247" s="2">
        <v>0.0184541996924263</v>
      </c>
      <c r="D247" s="1" t="s">
        <v>399</v>
      </c>
      <c r="E247" s="2">
        <v>-0.0463423350789439</v>
      </c>
      <c r="F247" s="2">
        <v>0.0819725902109383</v>
      </c>
    </row>
    <row r="248" spans="1:6">
      <c r="A248" s="1" t="s">
        <v>117</v>
      </c>
      <c r="B248" s="2">
        <v>0.0863906414424872</v>
      </c>
      <c r="C248" s="2">
        <v>0.0863906414424872</v>
      </c>
      <c r="D248" s="1" t="s">
        <v>400</v>
      </c>
      <c r="E248" s="2">
        <v>-0.0463423350789439</v>
      </c>
      <c r="F248" s="2">
        <v>0.0819725902109383</v>
      </c>
    </row>
    <row r="249" spans="1:6">
      <c r="A249" s="1" t="s">
        <v>154</v>
      </c>
      <c r="B249" s="2">
        <v>0.0551090423362978</v>
      </c>
      <c r="C249" s="2">
        <v>0.0551090423362978</v>
      </c>
      <c r="D249" s="1" t="s">
        <v>399</v>
      </c>
      <c r="E249" s="2">
        <v>-0.04647125034</v>
      </c>
      <c r="F249" s="2">
        <v>0.0964600839</v>
      </c>
    </row>
    <row r="250" spans="1:6">
      <c r="A250" s="1" t="s">
        <v>139</v>
      </c>
      <c r="B250" s="2">
        <v>0.122132189842225</v>
      </c>
      <c r="C250" s="2">
        <v>0.122132189842225</v>
      </c>
      <c r="D250" s="1" t="s">
        <v>399</v>
      </c>
      <c r="E250" s="2">
        <v>-0.0892054788061144</v>
      </c>
      <c r="F250" s="2">
        <v>0.168608852215734</v>
      </c>
    </row>
    <row r="251" spans="1:6">
      <c r="A251" s="1" t="s">
        <v>139</v>
      </c>
      <c r="B251" s="2">
        <v>0.0910164549502997</v>
      </c>
      <c r="C251" s="2">
        <v>0.0910164549502997</v>
      </c>
      <c r="D251" s="1" t="s">
        <v>399</v>
      </c>
      <c r="E251" s="2">
        <v>-0.0892054788061144</v>
      </c>
      <c r="F251" s="2">
        <v>0.168608852215734</v>
      </c>
    </row>
    <row r="252" spans="1:6">
      <c r="A252" s="1" t="s">
        <v>139</v>
      </c>
      <c r="B252" s="2">
        <v>0.0381375292485918</v>
      </c>
      <c r="C252" s="2">
        <v>0.0381375292485918</v>
      </c>
      <c r="D252" s="1" t="s">
        <v>399</v>
      </c>
      <c r="E252" s="2">
        <v>-0.0892054788061144</v>
      </c>
      <c r="F252" s="2">
        <v>0.168608852215734</v>
      </c>
    </row>
    <row r="253" spans="1:6">
      <c r="A253" s="1" t="s">
        <v>139</v>
      </c>
      <c r="B253" s="2">
        <v>0.00148809668414708</v>
      </c>
      <c r="C253" s="2">
        <v>0.00148809668414708</v>
      </c>
      <c r="D253" s="1" t="s">
        <v>399</v>
      </c>
      <c r="E253" s="2">
        <v>-0.0892054788061144</v>
      </c>
      <c r="F253" s="2">
        <v>0.168608852215734</v>
      </c>
    </row>
    <row r="254" spans="1:6">
      <c r="A254" s="1" t="s">
        <v>139</v>
      </c>
      <c r="B254" s="2">
        <v>0.0116258685632407</v>
      </c>
      <c r="C254" s="2">
        <v>0.0116258685632407</v>
      </c>
      <c r="D254" s="1" t="s">
        <v>399</v>
      </c>
      <c r="E254" s="2">
        <v>-0.0892054788061144</v>
      </c>
      <c r="F254" s="2">
        <v>0.168608852215734</v>
      </c>
    </row>
    <row r="255" spans="1:6">
      <c r="A255" s="1" t="s">
        <v>139</v>
      </c>
      <c r="B255" s="2">
        <v>0.0107588581327691</v>
      </c>
      <c r="C255" s="2">
        <v>0.0107588581327691</v>
      </c>
      <c r="D255" s="1" t="s">
        <v>399</v>
      </c>
      <c r="E255" s="2">
        <v>-0.0892054788061144</v>
      </c>
      <c r="F255" s="2">
        <v>0.168608852215734</v>
      </c>
    </row>
    <row r="256" spans="1:6">
      <c r="A256" s="1" t="s">
        <v>139</v>
      </c>
      <c r="B256" s="2">
        <v>0.00244933141306575</v>
      </c>
      <c r="C256" s="2">
        <v>0.00244933141306575</v>
      </c>
      <c r="D256" s="1" t="s">
        <v>399</v>
      </c>
      <c r="E256" s="2">
        <v>-0.0892054788061144</v>
      </c>
      <c r="F256" s="2">
        <v>0.168608852215734</v>
      </c>
    </row>
    <row r="257" spans="1:6">
      <c r="A257" s="1" t="s">
        <v>139</v>
      </c>
      <c r="B257" s="2">
        <v>0.00434793743365526</v>
      </c>
      <c r="C257" s="2">
        <v>0.00434793743365526</v>
      </c>
      <c r="D257" s="1" t="s">
        <v>399</v>
      </c>
      <c r="E257" s="2">
        <v>-0.0892054788061144</v>
      </c>
      <c r="F257" s="2">
        <v>0.168608852215734</v>
      </c>
    </row>
    <row r="258" spans="1:6">
      <c r="A258" s="1" t="s">
        <v>139</v>
      </c>
      <c r="B258" s="2">
        <v>0.014582116955913</v>
      </c>
      <c r="C258" s="2">
        <v>0.014582116955913</v>
      </c>
      <c r="D258" s="1" t="s">
        <v>399</v>
      </c>
      <c r="E258" s="2">
        <v>-0.0892054788061144</v>
      </c>
      <c r="F258" s="2">
        <v>0.168608852215734</v>
      </c>
    </row>
    <row r="259" spans="1:6">
      <c r="A259" s="1" t="s">
        <v>139</v>
      </c>
      <c r="B259" s="2">
        <v>0.0401322853382442</v>
      </c>
      <c r="C259" s="2">
        <v>0.0401322853382442</v>
      </c>
      <c r="D259" s="1" t="s">
        <v>399</v>
      </c>
      <c r="E259" s="2">
        <v>-0.0892054788061144</v>
      </c>
      <c r="F259" s="2">
        <v>0.168608852215734</v>
      </c>
    </row>
    <row r="260" spans="1:6">
      <c r="A260" s="1" t="s">
        <v>139</v>
      </c>
      <c r="B260" s="2">
        <v>0.0463524728981751</v>
      </c>
      <c r="C260" s="2">
        <v>0.0463524728981751</v>
      </c>
      <c r="D260" s="1" t="s">
        <v>399</v>
      </c>
      <c r="E260" s="2">
        <v>-0.0892054788061144</v>
      </c>
      <c r="F260" s="2">
        <v>0.168608852215734</v>
      </c>
    </row>
    <row r="261" spans="1:6">
      <c r="A261" s="1" t="s">
        <v>139</v>
      </c>
      <c r="B261" s="2">
        <v>0.00930034631087752</v>
      </c>
      <c r="C261" s="2">
        <v>0.00930034631087752</v>
      </c>
      <c r="D261" s="1" t="s">
        <v>399</v>
      </c>
      <c r="E261" s="2">
        <v>-0.0892054788061144</v>
      </c>
      <c r="F261" s="2">
        <v>0.168608852215734</v>
      </c>
    </row>
    <row r="262" spans="1:6">
      <c r="A262" s="1" t="s">
        <v>139</v>
      </c>
      <c r="B262" s="2">
        <v>0.177939494548147</v>
      </c>
      <c r="C262" s="2">
        <v>0.177939494548147</v>
      </c>
      <c r="D262" s="1" t="s">
        <v>400</v>
      </c>
      <c r="E262" s="2">
        <v>-0.0892054788061144</v>
      </c>
      <c r="F262" s="2">
        <v>0.168608852215734</v>
      </c>
    </row>
    <row r="263" spans="1:6">
      <c r="A263" s="1" t="s">
        <v>139</v>
      </c>
      <c r="B263" s="2">
        <v>0.15290712210639</v>
      </c>
      <c r="C263" s="2">
        <v>0.15290712210639</v>
      </c>
      <c r="D263" s="1" t="s">
        <v>399</v>
      </c>
      <c r="E263" s="2">
        <v>-0.0892054788061144</v>
      </c>
      <c r="F263" s="2">
        <v>0.168608852215734</v>
      </c>
    </row>
    <row r="264" spans="1:6">
      <c r="A264" s="1" t="s">
        <v>139</v>
      </c>
      <c r="B264" s="2">
        <v>0.0536819260877845</v>
      </c>
      <c r="C264" s="2">
        <v>0.0536819260877845</v>
      </c>
      <c r="D264" s="1" t="s">
        <v>399</v>
      </c>
      <c r="E264" s="2">
        <v>-0.0892054788061144</v>
      </c>
      <c r="F264" s="2">
        <v>0.168608852215734</v>
      </c>
    </row>
    <row r="265" spans="1:6">
      <c r="A265" s="1" t="s">
        <v>139</v>
      </c>
      <c r="B265" s="2">
        <v>0.0719284780825407</v>
      </c>
      <c r="C265" s="2">
        <v>0.0719284780825407</v>
      </c>
      <c r="D265" s="1" t="s">
        <v>399</v>
      </c>
      <c r="E265" s="2">
        <v>-0.0892054788061144</v>
      </c>
      <c r="F265" s="2">
        <v>0.168608852215734</v>
      </c>
    </row>
    <row r="266" spans="1:6">
      <c r="A266" s="1" t="s">
        <v>139</v>
      </c>
      <c r="B266" s="2">
        <v>0.0342264225769605</v>
      </c>
      <c r="C266" s="2">
        <v>0.0342264225769605</v>
      </c>
      <c r="D266" s="1" t="s">
        <v>399</v>
      </c>
      <c r="E266" s="2">
        <v>-0.0892054788061144</v>
      </c>
      <c r="F266" s="2">
        <v>0.168608852215734</v>
      </c>
    </row>
    <row r="267" spans="1:6">
      <c r="A267" s="1" t="s">
        <v>139</v>
      </c>
      <c r="B267" s="2">
        <v>0.0649964372865606</v>
      </c>
      <c r="C267" s="2">
        <v>0.0649964372865606</v>
      </c>
      <c r="D267" s="1" t="s">
        <v>399</v>
      </c>
      <c r="E267" s="2">
        <v>-0.0892054788061144</v>
      </c>
      <c r="F267" s="2">
        <v>0.168608852215734</v>
      </c>
    </row>
    <row r="268" spans="1:6">
      <c r="A268" s="1" t="s">
        <v>139</v>
      </c>
      <c r="B268" s="2">
        <v>0.00671232242265566</v>
      </c>
      <c r="C268" s="2">
        <v>0.00671232242265566</v>
      </c>
      <c r="D268" s="1" t="s">
        <v>399</v>
      </c>
      <c r="E268" s="2">
        <v>-0.0892054788061144</v>
      </c>
      <c r="F268" s="2">
        <v>0.168608852215734</v>
      </c>
    </row>
    <row r="269" spans="1:6">
      <c r="A269" s="1" t="s">
        <v>139</v>
      </c>
      <c r="B269" s="2">
        <v>0.00747489532707865</v>
      </c>
      <c r="C269" s="2">
        <v>0.00747489532707865</v>
      </c>
      <c r="D269" s="1" t="s">
        <v>399</v>
      </c>
      <c r="E269" s="2">
        <v>-0.0892054788061144</v>
      </c>
      <c r="F269" s="2">
        <v>0.168608852215734</v>
      </c>
    </row>
    <row r="270" spans="1:6">
      <c r="A270" s="1" t="s">
        <v>139</v>
      </c>
      <c r="B270" s="2">
        <v>0.126723952761283</v>
      </c>
      <c r="C270" s="2">
        <v>0.126723952761283</v>
      </c>
      <c r="D270" s="1" t="s">
        <v>399</v>
      </c>
      <c r="E270" s="2">
        <v>-0.0892054788061144</v>
      </c>
      <c r="F270" s="2">
        <v>0.168608852215734</v>
      </c>
    </row>
    <row r="271" spans="1:6">
      <c r="A271" s="1" t="s">
        <v>139</v>
      </c>
      <c r="B271" s="2">
        <v>0.0567639681538609</v>
      </c>
      <c r="C271" s="2">
        <v>0.0567639681538609</v>
      </c>
      <c r="D271" s="1" t="s">
        <v>399</v>
      </c>
      <c r="E271" s="2">
        <v>-0.0892054788061144</v>
      </c>
      <c r="F271" s="2">
        <v>0.168608852215734</v>
      </c>
    </row>
    <row r="272" spans="1:6">
      <c r="A272" s="1" t="s">
        <v>117</v>
      </c>
      <c r="B272" s="2">
        <v>0.0967127222645701</v>
      </c>
      <c r="C272" s="2">
        <v>0.0967127222645701</v>
      </c>
      <c r="D272" s="1" t="s">
        <v>400</v>
      </c>
      <c r="E272" s="2">
        <v>-0.0463423350789439</v>
      </c>
      <c r="F272" s="2">
        <v>0.0819725902109383</v>
      </c>
    </row>
    <row r="273" spans="1:6">
      <c r="A273" s="1" t="s">
        <v>126</v>
      </c>
      <c r="B273" s="2">
        <v>0.122132189842225</v>
      </c>
      <c r="C273" s="2">
        <v>0.122132189842225</v>
      </c>
      <c r="D273" s="1" t="s">
        <v>400</v>
      </c>
      <c r="E273" s="2">
        <v>-0.0523367825301163</v>
      </c>
      <c r="F273" s="2">
        <v>0.103637660526783</v>
      </c>
    </row>
    <row r="274" spans="1:6">
      <c r="A274" s="1" t="s">
        <v>126</v>
      </c>
      <c r="B274" s="2">
        <v>0.0910164549502997</v>
      </c>
      <c r="C274" s="2">
        <v>0.0910164549502997</v>
      </c>
      <c r="D274" s="1" t="s">
        <v>399</v>
      </c>
      <c r="E274" s="2">
        <v>-0.0523367825301163</v>
      </c>
      <c r="F274" s="2">
        <v>0.103637660526783</v>
      </c>
    </row>
    <row r="275" spans="1:6">
      <c r="A275" s="1" t="s">
        <v>126</v>
      </c>
      <c r="B275" s="2">
        <v>0.0381375292485918</v>
      </c>
      <c r="C275" s="2">
        <v>0.0381375292485918</v>
      </c>
      <c r="D275" s="1" t="s">
        <v>399</v>
      </c>
      <c r="E275" s="2">
        <v>-0.0523367825301163</v>
      </c>
      <c r="F275" s="2">
        <v>0.103637660526783</v>
      </c>
    </row>
    <row r="276" spans="1:6">
      <c r="A276" s="1" t="s">
        <v>126</v>
      </c>
      <c r="B276" s="2">
        <v>0.0190677797079037</v>
      </c>
      <c r="C276" s="2">
        <v>0.0190677797079037</v>
      </c>
      <c r="D276" s="1" t="s">
        <v>399</v>
      </c>
      <c r="E276" s="2">
        <v>-0.0523367825301163</v>
      </c>
      <c r="F276" s="2">
        <v>0.103637660526783</v>
      </c>
    </row>
    <row r="277" spans="1:6">
      <c r="A277" s="1" t="s">
        <v>126</v>
      </c>
      <c r="B277" s="2">
        <v>0.023830321629479</v>
      </c>
      <c r="C277" s="2">
        <v>0.023830321629479</v>
      </c>
      <c r="D277" s="1" t="s">
        <v>399</v>
      </c>
      <c r="E277" s="2">
        <v>-0.0523367825301163</v>
      </c>
      <c r="F277" s="2">
        <v>0.103637660526783</v>
      </c>
    </row>
    <row r="278" spans="1:6">
      <c r="A278" s="1" t="s">
        <v>126</v>
      </c>
      <c r="B278" s="2">
        <v>0.0447455015412029</v>
      </c>
      <c r="C278" s="2">
        <v>0.0447455015412029</v>
      </c>
      <c r="D278" s="1" t="s">
        <v>399</v>
      </c>
      <c r="E278" s="2">
        <v>-0.0523367825301163</v>
      </c>
      <c r="F278" s="2">
        <v>0.103637660526783</v>
      </c>
    </row>
    <row r="279" spans="1:6">
      <c r="A279" s="1" t="s">
        <v>126</v>
      </c>
      <c r="B279" s="2">
        <v>0.0108392192999601</v>
      </c>
      <c r="C279" s="2">
        <v>0.0108392192999601</v>
      </c>
      <c r="D279" s="1" t="s">
        <v>399</v>
      </c>
      <c r="E279" s="2">
        <v>-0.0523367825301163</v>
      </c>
      <c r="F279" s="2">
        <v>0.103637660526783</v>
      </c>
    </row>
    <row r="280" spans="1:6">
      <c r="A280" s="1" t="s">
        <v>126</v>
      </c>
      <c r="B280" s="2">
        <v>0.0205340699276323</v>
      </c>
      <c r="C280" s="2">
        <v>0.0205340699276323</v>
      </c>
      <c r="D280" s="1" t="s">
        <v>399</v>
      </c>
      <c r="E280" s="2">
        <v>-0.0523367825301163</v>
      </c>
      <c r="F280" s="2">
        <v>0.103637660526783</v>
      </c>
    </row>
    <row r="281" spans="1:6">
      <c r="A281" s="1" t="s">
        <v>126</v>
      </c>
      <c r="B281" s="2">
        <v>0.0124236536259782</v>
      </c>
      <c r="C281" s="2">
        <v>0.0124236536259782</v>
      </c>
      <c r="D281" s="1" t="s">
        <v>399</v>
      </c>
      <c r="E281" s="2">
        <v>-0.0523367825301163</v>
      </c>
      <c r="F281" s="2">
        <v>0.103637660526783</v>
      </c>
    </row>
    <row r="282" spans="1:6">
      <c r="A282" s="1" t="s">
        <v>126</v>
      </c>
      <c r="B282" s="2">
        <v>0.0115768647069879</v>
      </c>
      <c r="C282" s="2">
        <v>0.0115768647069879</v>
      </c>
      <c r="D282" s="1" t="s">
        <v>399</v>
      </c>
      <c r="E282" s="2">
        <v>-0.0523367825301163</v>
      </c>
      <c r="F282" s="2">
        <v>0.103637660526783</v>
      </c>
    </row>
    <row r="283" spans="1:6">
      <c r="A283" s="1" t="s">
        <v>126</v>
      </c>
      <c r="B283" s="2">
        <v>0.0119548804117875</v>
      </c>
      <c r="C283" s="2">
        <v>0.0119548804117875</v>
      </c>
      <c r="D283" s="1" t="s">
        <v>399</v>
      </c>
      <c r="E283" s="2">
        <v>-0.0523367825301163</v>
      </c>
      <c r="F283" s="2">
        <v>0.103637660526783</v>
      </c>
    </row>
    <row r="284" spans="1:6">
      <c r="A284" s="1" t="s">
        <v>126</v>
      </c>
      <c r="B284" s="2">
        <v>0.0133054809414977</v>
      </c>
      <c r="C284" s="2">
        <v>0.0133054809414977</v>
      </c>
      <c r="D284" s="1" t="s">
        <v>399</v>
      </c>
      <c r="E284" s="2">
        <v>-0.0523367825301163</v>
      </c>
      <c r="F284" s="2">
        <v>0.103637660526783</v>
      </c>
    </row>
    <row r="285" spans="1:6">
      <c r="A285" s="1" t="s">
        <v>126</v>
      </c>
      <c r="B285" s="2">
        <v>0.00303926328361242</v>
      </c>
      <c r="C285" s="2">
        <v>0.00303926328361242</v>
      </c>
      <c r="D285" s="1" t="s">
        <v>399</v>
      </c>
      <c r="E285" s="2">
        <v>-0.0523367825301163</v>
      </c>
      <c r="F285" s="2">
        <v>0.103637660526783</v>
      </c>
    </row>
    <row r="286" spans="1:6">
      <c r="A286" s="1" t="s">
        <v>126</v>
      </c>
      <c r="B286" s="2">
        <v>0.00829788218052665</v>
      </c>
      <c r="C286" s="2">
        <v>0.00829788218052665</v>
      </c>
      <c r="D286" s="1" t="s">
        <v>399</v>
      </c>
      <c r="E286" s="2">
        <v>-0.0523367825301163</v>
      </c>
      <c r="F286" s="2">
        <v>0.103637660526783</v>
      </c>
    </row>
    <row r="287" spans="1:6">
      <c r="A287" s="1" t="s">
        <v>126</v>
      </c>
      <c r="B287" s="2">
        <v>0.00797061018654464</v>
      </c>
      <c r="C287" s="2">
        <v>0.00797061018654464</v>
      </c>
      <c r="D287" s="1" t="s">
        <v>399</v>
      </c>
      <c r="E287" s="2">
        <v>-0.0523367825301163</v>
      </c>
      <c r="F287" s="2">
        <v>0.103637660526783</v>
      </c>
    </row>
    <row r="288" spans="1:6">
      <c r="A288" s="1" t="s">
        <v>126</v>
      </c>
      <c r="B288" s="2">
        <v>0.00148809668414708</v>
      </c>
      <c r="C288" s="2">
        <v>0.00148809668414708</v>
      </c>
      <c r="D288" s="1" t="s">
        <v>399</v>
      </c>
      <c r="E288" s="2">
        <v>-0.0523367825301163</v>
      </c>
      <c r="F288" s="2">
        <v>0.103637660526783</v>
      </c>
    </row>
    <row r="289" spans="1:6">
      <c r="A289" s="1" t="s">
        <v>126</v>
      </c>
      <c r="B289" s="2">
        <v>0.0116258685632407</v>
      </c>
      <c r="C289" s="2">
        <v>0.0116258685632407</v>
      </c>
      <c r="D289" s="1" t="s">
        <v>399</v>
      </c>
      <c r="E289" s="2">
        <v>-0.0523367825301163</v>
      </c>
      <c r="F289" s="2">
        <v>0.103637660526783</v>
      </c>
    </row>
    <row r="290" spans="1:6">
      <c r="A290" s="1" t="s">
        <v>126</v>
      </c>
      <c r="B290" s="2">
        <v>0.0107588581327691</v>
      </c>
      <c r="C290" s="2">
        <v>0.0107588581327691</v>
      </c>
      <c r="D290" s="1" t="s">
        <v>399</v>
      </c>
      <c r="E290" s="2">
        <v>-0.0523367825301163</v>
      </c>
      <c r="F290" s="2">
        <v>0.103637660526783</v>
      </c>
    </row>
    <row r="291" spans="1:6">
      <c r="A291" s="1" t="s">
        <v>126</v>
      </c>
      <c r="B291" s="2">
        <v>0.127093040724159</v>
      </c>
      <c r="C291" s="2">
        <v>0.127093040724159</v>
      </c>
      <c r="D291" s="1" t="s">
        <v>400</v>
      </c>
      <c r="E291" s="2">
        <v>-0.0523367825301163</v>
      </c>
      <c r="F291" s="2">
        <v>0.103637660526783</v>
      </c>
    </row>
    <row r="292" spans="1:6">
      <c r="A292" s="1" t="s">
        <v>126</v>
      </c>
      <c r="B292" s="2">
        <v>0.155962561869142</v>
      </c>
      <c r="C292" s="2">
        <v>0.155962561869142</v>
      </c>
      <c r="D292" s="1" t="s">
        <v>400</v>
      </c>
      <c r="E292" s="2">
        <v>-0.0523367825301163</v>
      </c>
      <c r="F292" s="2">
        <v>0.103637660526783</v>
      </c>
    </row>
    <row r="293" spans="1:6">
      <c r="A293" s="1" t="s">
        <v>126</v>
      </c>
      <c r="B293" s="2">
        <v>0.236740933264617</v>
      </c>
      <c r="C293" s="2">
        <v>0.236740933264617</v>
      </c>
      <c r="D293" s="1" t="s">
        <v>400</v>
      </c>
      <c r="E293" s="2">
        <v>-0.0523367825301163</v>
      </c>
      <c r="F293" s="2">
        <v>0.103637660526783</v>
      </c>
    </row>
    <row r="294" spans="1:6">
      <c r="A294" s="1" t="s">
        <v>126</v>
      </c>
      <c r="B294" s="2">
        <v>0.00244933141306575</v>
      </c>
      <c r="C294" s="2">
        <v>0.00244933141306575</v>
      </c>
      <c r="D294" s="1" t="s">
        <v>399</v>
      </c>
      <c r="E294" s="2">
        <v>-0.0523367825301163</v>
      </c>
      <c r="F294" s="2">
        <v>0.103637660526783</v>
      </c>
    </row>
    <row r="295" spans="1:6">
      <c r="A295" s="1" t="s">
        <v>126</v>
      </c>
      <c r="B295" s="2">
        <v>0.00434793743365526</v>
      </c>
      <c r="C295" s="2">
        <v>0.00434793743365526</v>
      </c>
      <c r="D295" s="1" t="s">
        <v>399</v>
      </c>
      <c r="E295" s="2">
        <v>-0.0523367825301163</v>
      </c>
      <c r="F295" s="2">
        <v>0.103637660526783</v>
      </c>
    </row>
    <row r="296" spans="1:6">
      <c r="A296" s="1" t="s">
        <v>126</v>
      </c>
      <c r="B296" s="2">
        <v>0.014582116955913</v>
      </c>
      <c r="C296" s="2">
        <v>0.014582116955913</v>
      </c>
      <c r="D296" s="1" t="s">
        <v>399</v>
      </c>
      <c r="E296" s="2">
        <v>-0.0523367825301163</v>
      </c>
      <c r="F296" s="2">
        <v>0.103637660526783</v>
      </c>
    </row>
    <row r="297" spans="1:6">
      <c r="A297" s="1" t="s">
        <v>126</v>
      </c>
      <c r="B297" s="2">
        <v>0.012515748997746</v>
      </c>
      <c r="C297" s="2">
        <v>0.012515748997746</v>
      </c>
      <c r="D297" s="1" t="s">
        <v>399</v>
      </c>
      <c r="E297" s="2">
        <v>-0.0523367825301163</v>
      </c>
      <c r="F297" s="2">
        <v>0.103637660526783</v>
      </c>
    </row>
    <row r="298" spans="1:6">
      <c r="A298" s="1" t="s">
        <v>126</v>
      </c>
      <c r="B298" s="2">
        <v>0.00983944316619611</v>
      </c>
      <c r="C298" s="2">
        <v>0.00983944316619611</v>
      </c>
      <c r="D298" s="1" t="s">
        <v>399</v>
      </c>
      <c r="E298" s="2">
        <v>-0.0523367825301163</v>
      </c>
      <c r="F298" s="2">
        <v>0.103637660526783</v>
      </c>
    </row>
    <row r="299" spans="1:6">
      <c r="A299" s="1" t="s">
        <v>126</v>
      </c>
      <c r="B299" s="2">
        <v>0.0112158149670908</v>
      </c>
      <c r="C299" s="2">
        <v>0.0112158149670908</v>
      </c>
      <c r="D299" s="1" t="s">
        <v>399</v>
      </c>
      <c r="E299" s="2">
        <v>-0.0523367825301163</v>
      </c>
      <c r="F299" s="2">
        <v>0.103637660526783</v>
      </c>
    </row>
    <row r="300" spans="1:6">
      <c r="A300" s="1" t="s">
        <v>126</v>
      </c>
      <c r="B300" s="2">
        <v>0.0107237879001898</v>
      </c>
      <c r="C300" s="2">
        <v>0.0107237879001898</v>
      </c>
      <c r="D300" s="1" t="s">
        <v>399</v>
      </c>
      <c r="E300" s="2">
        <v>-0.0523367825301163</v>
      </c>
      <c r="F300" s="2">
        <v>0.103637660526783</v>
      </c>
    </row>
    <row r="301" spans="1:6">
      <c r="A301" s="1" t="s">
        <v>126</v>
      </c>
      <c r="B301" s="2">
        <v>0.0576989759421125</v>
      </c>
      <c r="C301" s="2">
        <v>0.0576989759421125</v>
      </c>
      <c r="D301" s="1" t="s">
        <v>399</v>
      </c>
      <c r="E301" s="2">
        <v>-0.0523367825301163</v>
      </c>
      <c r="F301" s="2">
        <v>0.103637660526783</v>
      </c>
    </row>
    <row r="302" spans="1:6">
      <c r="A302" s="1" t="s">
        <v>126</v>
      </c>
      <c r="B302" s="2">
        <v>0.108898577566701</v>
      </c>
      <c r="C302" s="2">
        <v>0.108898577566701</v>
      </c>
      <c r="D302" s="1" t="s">
        <v>400</v>
      </c>
      <c r="E302" s="2">
        <v>-0.0523367825301163</v>
      </c>
      <c r="F302" s="2">
        <v>0.103637660526783</v>
      </c>
    </row>
    <row r="303" spans="1:6">
      <c r="A303" s="1" t="s">
        <v>126</v>
      </c>
      <c r="B303" s="2">
        <v>0.0109464715571077</v>
      </c>
      <c r="C303" s="2">
        <v>0.0109464715571077</v>
      </c>
      <c r="D303" s="1" t="s">
        <v>399</v>
      </c>
      <c r="E303" s="2">
        <v>-0.0523367825301163</v>
      </c>
      <c r="F303" s="2">
        <v>0.103637660526783</v>
      </c>
    </row>
    <row r="304" spans="1:6">
      <c r="A304" s="1" t="s">
        <v>126</v>
      </c>
      <c r="B304" s="2">
        <v>0.00481906719219249</v>
      </c>
      <c r="C304" s="2">
        <v>0.00481906719219249</v>
      </c>
      <c r="D304" s="1" t="s">
        <v>399</v>
      </c>
      <c r="E304" s="2">
        <v>-0.0523367825301163</v>
      </c>
      <c r="F304" s="2">
        <v>0.103637660526783</v>
      </c>
    </row>
    <row r="305" spans="1:6">
      <c r="A305" s="1" t="s">
        <v>126</v>
      </c>
      <c r="B305" s="2">
        <v>0.00824941443811267</v>
      </c>
      <c r="C305" s="2">
        <v>0.00824941443811267</v>
      </c>
      <c r="D305" s="1" t="s">
        <v>399</v>
      </c>
      <c r="E305" s="2">
        <v>-0.0523367825301163</v>
      </c>
      <c r="F305" s="2">
        <v>0.103637660526783</v>
      </c>
    </row>
    <row r="306" spans="1:6">
      <c r="A306" s="1" t="s">
        <v>126</v>
      </c>
      <c r="B306" s="2">
        <v>0.00886632808827343</v>
      </c>
      <c r="C306" s="2">
        <v>0.00886632808827343</v>
      </c>
      <c r="D306" s="1" t="s">
        <v>399</v>
      </c>
      <c r="E306" s="2">
        <v>-0.0523367825301163</v>
      </c>
      <c r="F306" s="2">
        <v>0.103637660526783</v>
      </c>
    </row>
    <row r="307" spans="1:6">
      <c r="A307" s="1" t="s">
        <v>126</v>
      </c>
      <c r="B307" s="2">
        <v>0.0101349819519091</v>
      </c>
      <c r="C307" s="2">
        <v>0.0101349819519091</v>
      </c>
      <c r="D307" s="1" t="s">
        <v>399</v>
      </c>
      <c r="E307" s="2">
        <v>-0.0523367825301163</v>
      </c>
      <c r="F307" s="2">
        <v>0.103637660526783</v>
      </c>
    </row>
    <row r="308" spans="1:6">
      <c r="A308" s="1" t="s">
        <v>126</v>
      </c>
      <c r="B308" s="2">
        <v>0.0101054266097208</v>
      </c>
      <c r="C308" s="2">
        <v>0.0101054266097208</v>
      </c>
      <c r="D308" s="1" t="s">
        <v>399</v>
      </c>
      <c r="E308" s="2">
        <v>-0.0523367825301163</v>
      </c>
      <c r="F308" s="2">
        <v>0.103637660526783</v>
      </c>
    </row>
    <row r="309" spans="1:6">
      <c r="A309" s="1" t="s">
        <v>126</v>
      </c>
      <c r="B309" s="2">
        <v>0.00715705572556631</v>
      </c>
      <c r="C309" s="2">
        <v>0.00715705572556631</v>
      </c>
      <c r="D309" s="1" t="s">
        <v>399</v>
      </c>
      <c r="E309" s="2">
        <v>-0.0523367825301163</v>
      </c>
      <c r="F309" s="2">
        <v>0.103637660526783</v>
      </c>
    </row>
    <row r="310" spans="1:6">
      <c r="A310" s="1" t="s">
        <v>126</v>
      </c>
      <c r="B310" s="2">
        <v>0.00621764482162806</v>
      </c>
      <c r="C310" s="2">
        <v>0.00621764482162806</v>
      </c>
      <c r="D310" s="1" t="s">
        <v>399</v>
      </c>
      <c r="E310" s="2">
        <v>-0.0523367825301163</v>
      </c>
      <c r="F310" s="2">
        <v>0.103637660526783</v>
      </c>
    </row>
    <row r="311" spans="1:6">
      <c r="A311" s="1" t="s">
        <v>126</v>
      </c>
      <c r="B311" s="2">
        <v>0.0104546644041838</v>
      </c>
      <c r="C311" s="2">
        <v>0.0104546644041838</v>
      </c>
      <c r="D311" s="1" t="s">
        <v>399</v>
      </c>
      <c r="E311" s="2">
        <v>-0.0523367825301163</v>
      </c>
      <c r="F311" s="2">
        <v>0.103637660526783</v>
      </c>
    </row>
    <row r="312" spans="1:6">
      <c r="A312" s="1" t="s">
        <v>126</v>
      </c>
      <c r="B312" s="2">
        <v>0.015974881749785</v>
      </c>
      <c r="C312" s="2">
        <v>0.015974881749785</v>
      </c>
      <c r="D312" s="1" t="s">
        <v>399</v>
      </c>
      <c r="E312" s="2">
        <v>-0.0523367825301163</v>
      </c>
      <c r="F312" s="2">
        <v>0.103637660526783</v>
      </c>
    </row>
    <row r="313" spans="1:6">
      <c r="A313" s="1" t="s">
        <v>126</v>
      </c>
      <c r="B313" s="2">
        <v>0.00913641921673725</v>
      </c>
      <c r="C313" s="2">
        <v>0.00913641921673725</v>
      </c>
      <c r="D313" s="1" t="s">
        <v>399</v>
      </c>
      <c r="E313" s="2">
        <v>-0.0523367825301163</v>
      </c>
      <c r="F313" s="2">
        <v>0.103637660526783</v>
      </c>
    </row>
    <row r="314" spans="1:6">
      <c r="A314" s="1" t="s">
        <v>126</v>
      </c>
      <c r="B314" s="2">
        <v>0.00824588550240485</v>
      </c>
      <c r="C314" s="2">
        <v>0.00824588550240485</v>
      </c>
      <c r="D314" s="1" t="s">
        <v>399</v>
      </c>
      <c r="E314" s="2">
        <v>-0.0523367825301163</v>
      </c>
      <c r="F314" s="2">
        <v>0.103637660526783</v>
      </c>
    </row>
    <row r="315" spans="1:6">
      <c r="A315" s="1" t="s">
        <v>126</v>
      </c>
      <c r="B315" s="2">
        <v>0.0144344923442112</v>
      </c>
      <c r="C315" s="2">
        <v>0.0144344923442112</v>
      </c>
      <c r="D315" s="1" t="s">
        <v>399</v>
      </c>
      <c r="E315" s="2">
        <v>-0.0523367825301163</v>
      </c>
      <c r="F315" s="2">
        <v>0.103637660526783</v>
      </c>
    </row>
    <row r="316" spans="1:6">
      <c r="A316" s="1" t="s">
        <v>126</v>
      </c>
      <c r="B316" s="2">
        <v>0.0185148921165522</v>
      </c>
      <c r="C316" s="2">
        <v>0.0185148921165522</v>
      </c>
      <c r="D316" s="1" t="s">
        <v>399</v>
      </c>
      <c r="E316" s="2">
        <v>-0.0523367825301163</v>
      </c>
      <c r="F316" s="2">
        <v>0.103637660526783</v>
      </c>
    </row>
    <row r="317" spans="1:6">
      <c r="A317" s="1" t="s">
        <v>126</v>
      </c>
      <c r="B317" s="2">
        <v>0.0480006797506273</v>
      </c>
      <c r="C317" s="2">
        <v>0.0480006797506273</v>
      </c>
      <c r="D317" s="1" t="s">
        <v>399</v>
      </c>
      <c r="E317" s="2">
        <v>-0.0523367825301163</v>
      </c>
      <c r="F317" s="2">
        <v>0.103637660526783</v>
      </c>
    </row>
    <row r="318" spans="1:6">
      <c r="A318" s="1" t="s">
        <v>126</v>
      </c>
      <c r="B318" s="2">
        <v>0.0976878788281305</v>
      </c>
      <c r="C318" s="2">
        <v>0.0976878788281305</v>
      </c>
      <c r="D318" s="1" t="s">
        <v>399</v>
      </c>
      <c r="E318" s="2">
        <v>-0.0523367825301163</v>
      </c>
      <c r="F318" s="2">
        <v>0.103637660526783</v>
      </c>
    </row>
    <row r="319" spans="1:6">
      <c r="A319" s="1" t="s">
        <v>126</v>
      </c>
      <c r="B319" s="2">
        <v>0.0401322853382442</v>
      </c>
      <c r="C319" s="2">
        <v>0.0401322853382442</v>
      </c>
      <c r="D319" s="1" t="s">
        <v>399</v>
      </c>
      <c r="E319" s="2">
        <v>-0.0523367825301163</v>
      </c>
      <c r="F319" s="2">
        <v>0.103637660526783</v>
      </c>
    </row>
    <row r="320" spans="1:6">
      <c r="A320" s="1" t="s">
        <v>126</v>
      </c>
      <c r="B320" s="2">
        <v>0.0463524728981751</v>
      </c>
      <c r="C320" s="2">
        <v>0.0463524728981751</v>
      </c>
      <c r="D320" s="1" t="s">
        <v>399</v>
      </c>
      <c r="E320" s="2">
        <v>-0.0523367825301163</v>
      </c>
      <c r="F320" s="2">
        <v>0.103637660526783</v>
      </c>
    </row>
    <row r="321" spans="1:6">
      <c r="A321" s="1" t="s">
        <v>126</v>
      </c>
      <c r="B321" s="2">
        <v>0.0530051936512624</v>
      </c>
      <c r="C321" s="2">
        <v>0.0530051936512624</v>
      </c>
      <c r="D321" s="1" t="s">
        <v>399</v>
      </c>
      <c r="E321" s="2">
        <v>-0.0523367825301163</v>
      </c>
      <c r="F321" s="2">
        <v>0.103637660526783</v>
      </c>
    </row>
    <row r="322" spans="1:6">
      <c r="A322" s="1" t="s">
        <v>126</v>
      </c>
      <c r="B322" s="2">
        <v>0.00930034631087752</v>
      </c>
      <c r="C322" s="2">
        <v>0.00930034631087752</v>
      </c>
      <c r="D322" s="1" t="s">
        <v>399</v>
      </c>
      <c r="E322" s="2">
        <v>-0.0523367825301163</v>
      </c>
      <c r="F322" s="2">
        <v>0.103637660526783</v>
      </c>
    </row>
    <row r="323" spans="1:6">
      <c r="A323" s="1" t="s">
        <v>126</v>
      </c>
      <c r="B323" s="2">
        <v>0.027689223462424</v>
      </c>
      <c r="C323" s="2">
        <v>0.027689223462424</v>
      </c>
      <c r="D323" s="1" t="s">
        <v>399</v>
      </c>
      <c r="E323" s="2">
        <v>-0.0523367825301163</v>
      </c>
      <c r="F323" s="2">
        <v>0.103637660526783</v>
      </c>
    </row>
    <row r="324" spans="1:6">
      <c r="A324" s="1" t="s">
        <v>126</v>
      </c>
      <c r="B324" s="2">
        <v>0.018694740384</v>
      </c>
      <c r="C324" s="2">
        <v>0.018694740384</v>
      </c>
      <c r="D324" s="1" t="s">
        <v>399</v>
      </c>
      <c r="E324" s="2">
        <v>-0.0523367825301163</v>
      </c>
      <c r="F324" s="2">
        <v>0.103637660526783</v>
      </c>
    </row>
    <row r="325" spans="1:6">
      <c r="A325" s="1" t="s">
        <v>126</v>
      </c>
      <c r="B325" s="2">
        <v>0.0319424966840925</v>
      </c>
      <c r="C325" s="2">
        <v>0.0319424966840925</v>
      </c>
      <c r="D325" s="1" t="s">
        <v>399</v>
      </c>
      <c r="E325" s="2">
        <v>-0.0523367825301163</v>
      </c>
      <c r="F325" s="2">
        <v>0.103637660526783</v>
      </c>
    </row>
    <row r="326" spans="1:6">
      <c r="A326" s="1" t="s">
        <v>126</v>
      </c>
      <c r="B326" s="2">
        <v>0.0280168307265062</v>
      </c>
      <c r="C326" s="2">
        <v>0.0280168307265062</v>
      </c>
      <c r="D326" s="1" t="s">
        <v>399</v>
      </c>
      <c r="E326" s="2">
        <v>-0.0523367825301163</v>
      </c>
      <c r="F326" s="2">
        <v>0.103637660526783</v>
      </c>
    </row>
    <row r="327" spans="1:6">
      <c r="A327" s="1" t="s">
        <v>126</v>
      </c>
      <c r="B327" s="2">
        <v>0.0541614088271527</v>
      </c>
      <c r="C327" s="2">
        <v>0.0541614088271527</v>
      </c>
      <c r="D327" s="1" t="s">
        <v>399</v>
      </c>
      <c r="E327" s="2">
        <v>-0.0523367825301163</v>
      </c>
      <c r="F327" s="2">
        <v>0.103637660526783</v>
      </c>
    </row>
    <row r="328" spans="1:6">
      <c r="A328" s="1" t="s">
        <v>126</v>
      </c>
      <c r="B328" s="2">
        <v>0.0971981054429314</v>
      </c>
      <c r="C328" s="2">
        <v>0.0971981054429314</v>
      </c>
      <c r="D328" s="1" t="s">
        <v>399</v>
      </c>
      <c r="E328" s="2">
        <v>-0.0523367825301163</v>
      </c>
      <c r="F328" s="2">
        <v>0.103637660526783</v>
      </c>
    </row>
    <row r="329" spans="1:6">
      <c r="A329" s="1" t="s">
        <v>126</v>
      </c>
      <c r="B329" s="2">
        <v>0.0170689096541398</v>
      </c>
      <c r="C329" s="2">
        <v>0.0170689096541398</v>
      </c>
      <c r="D329" s="1" t="s">
        <v>399</v>
      </c>
      <c r="E329" s="2">
        <v>-0.0523367825301163</v>
      </c>
      <c r="F329" s="2">
        <v>0.103637660526783</v>
      </c>
    </row>
    <row r="330" spans="1:6">
      <c r="A330" s="1" t="s">
        <v>126</v>
      </c>
      <c r="B330" s="2">
        <v>0.0125397329934349</v>
      </c>
      <c r="C330" s="2">
        <v>0.0125397329934349</v>
      </c>
      <c r="D330" s="1" t="s">
        <v>399</v>
      </c>
      <c r="E330" s="2">
        <v>-0.0523367825301163</v>
      </c>
      <c r="F330" s="2">
        <v>0.103637660526783</v>
      </c>
    </row>
    <row r="331" spans="1:6">
      <c r="A331" s="1" t="s">
        <v>126</v>
      </c>
      <c r="B331" s="2">
        <v>0.0172270962847752</v>
      </c>
      <c r="C331" s="2">
        <v>0.0172270962847752</v>
      </c>
      <c r="D331" s="1" t="s">
        <v>399</v>
      </c>
      <c r="E331" s="2">
        <v>-0.0523367825301163</v>
      </c>
      <c r="F331" s="2">
        <v>0.103637660526783</v>
      </c>
    </row>
    <row r="332" spans="1:6">
      <c r="A332" s="1" t="s">
        <v>126</v>
      </c>
      <c r="B332" s="2">
        <v>0.0443991065176635</v>
      </c>
      <c r="C332" s="2">
        <v>0.0443991065176635</v>
      </c>
      <c r="D332" s="1" t="s">
        <v>399</v>
      </c>
      <c r="E332" s="2">
        <v>-0.0523367825301163</v>
      </c>
      <c r="F332" s="2">
        <v>0.103637660526783</v>
      </c>
    </row>
    <row r="333" spans="1:6">
      <c r="A333" s="1" t="s">
        <v>126</v>
      </c>
      <c r="B333" s="2">
        <v>0.217810101984579</v>
      </c>
      <c r="C333" s="2">
        <v>0.217810101984579</v>
      </c>
      <c r="D333" s="1" t="s">
        <v>400</v>
      </c>
      <c r="E333" s="2">
        <v>-0.0523367825301163</v>
      </c>
      <c r="F333" s="2">
        <v>0.103637660526783</v>
      </c>
    </row>
    <row r="334" spans="1:6">
      <c r="A334" s="1" t="s">
        <v>126</v>
      </c>
      <c r="B334" s="2">
        <v>0.0437633352782554</v>
      </c>
      <c r="C334" s="2">
        <v>0.0437633352782554</v>
      </c>
      <c r="D334" s="1" t="s">
        <v>399</v>
      </c>
      <c r="E334" s="2">
        <v>-0.0523367825301163</v>
      </c>
      <c r="F334" s="2">
        <v>0.103637660526783</v>
      </c>
    </row>
    <row r="335" spans="1:6">
      <c r="A335" s="1" t="s">
        <v>126</v>
      </c>
      <c r="B335" s="2">
        <v>0.0300816735823367</v>
      </c>
      <c r="C335" s="2">
        <v>0.0300816735823367</v>
      </c>
      <c r="D335" s="1" t="s">
        <v>399</v>
      </c>
      <c r="E335" s="2">
        <v>-0.0523367825301163</v>
      </c>
      <c r="F335" s="2">
        <v>0.103637660526783</v>
      </c>
    </row>
    <row r="336" spans="1:6">
      <c r="A336" s="1" t="s">
        <v>126</v>
      </c>
      <c r="B336" s="2">
        <v>0.0832297623356514</v>
      </c>
      <c r="C336" s="2">
        <v>0.0832297623356514</v>
      </c>
      <c r="D336" s="1" t="s">
        <v>399</v>
      </c>
      <c r="E336" s="2">
        <v>-0.0523367825301163</v>
      </c>
      <c r="F336" s="2">
        <v>0.103637660526783</v>
      </c>
    </row>
    <row r="337" spans="1:6">
      <c r="A337" s="1" t="s">
        <v>126</v>
      </c>
      <c r="B337" s="2">
        <v>0.0197143470167068</v>
      </c>
      <c r="C337" s="2">
        <v>0.0197143470167068</v>
      </c>
      <c r="D337" s="1" t="s">
        <v>399</v>
      </c>
      <c r="E337" s="2">
        <v>-0.0523367825301163</v>
      </c>
      <c r="F337" s="2">
        <v>0.103637660526783</v>
      </c>
    </row>
    <row r="338" spans="1:6">
      <c r="A338" s="1" t="s">
        <v>126</v>
      </c>
      <c r="B338" s="2">
        <v>0.0364334657254263</v>
      </c>
      <c r="C338" s="2">
        <v>0.0364334657254263</v>
      </c>
      <c r="D338" s="1" t="s">
        <v>399</v>
      </c>
      <c r="E338" s="2">
        <v>-0.0523367825301163</v>
      </c>
      <c r="F338" s="2">
        <v>0.103637660526783</v>
      </c>
    </row>
    <row r="339" spans="1:6">
      <c r="A339" s="1" t="s">
        <v>126</v>
      </c>
      <c r="B339" s="2">
        <v>0.049179205540439</v>
      </c>
      <c r="C339" s="2">
        <v>0.049179205540439</v>
      </c>
      <c r="D339" s="1" t="s">
        <v>399</v>
      </c>
      <c r="E339" s="2">
        <v>-0.0523367825301163</v>
      </c>
      <c r="F339" s="2">
        <v>0.103637660526783</v>
      </c>
    </row>
    <row r="340" spans="1:6">
      <c r="A340" s="1" t="s">
        <v>126</v>
      </c>
      <c r="B340" s="2">
        <v>0.0186554040803907</v>
      </c>
      <c r="C340" s="2">
        <v>0.0186554040803907</v>
      </c>
      <c r="D340" s="1" t="s">
        <v>399</v>
      </c>
      <c r="E340" s="2">
        <v>-0.0523367825301163</v>
      </c>
      <c r="F340" s="2">
        <v>0.103637660526783</v>
      </c>
    </row>
    <row r="341" spans="1:6">
      <c r="A341" s="1" t="s">
        <v>126</v>
      </c>
      <c r="B341" s="2">
        <v>0.115232655013127</v>
      </c>
      <c r="C341" s="2">
        <v>0.115232655013127</v>
      </c>
      <c r="D341" s="1" t="s">
        <v>400</v>
      </c>
      <c r="E341" s="2">
        <v>-0.0523367825301163</v>
      </c>
      <c r="F341" s="2">
        <v>0.103637660526783</v>
      </c>
    </row>
    <row r="342" spans="1:6">
      <c r="A342" s="1" t="s">
        <v>126</v>
      </c>
      <c r="B342" s="2">
        <v>0.177939494548147</v>
      </c>
      <c r="C342" s="2">
        <v>0.177939494548147</v>
      </c>
      <c r="D342" s="1" t="s">
        <v>400</v>
      </c>
      <c r="E342" s="2">
        <v>-0.0523367825301163</v>
      </c>
      <c r="F342" s="2">
        <v>0.103637660526783</v>
      </c>
    </row>
    <row r="343" spans="1:6">
      <c r="A343" s="1" t="s">
        <v>126</v>
      </c>
      <c r="B343" s="2">
        <v>0.15290712210639</v>
      </c>
      <c r="C343" s="2">
        <v>0.15290712210639</v>
      </c>
      <c r="D343" s="1" t="s">
        <v>400</v>
      </c>
      <c r="E343" s="2">
        <v>-0.0523367825301163</v>
      </c>
      <c r="F343" s="2">
        <v>0.103637660526783</v>
      </c>
    </row>
    <row r="344" spans="1:6">
      <c r="A344" s="1" t="s">
        <v>126</v>
      </c>
      <c r="B344" s="2">
        <v>0.0967127222645701</v>
      </c>
      <c r="C344" s="2">
        <v>0.0967127222645701</v>
      </c>
      <c r="D344" s="1" t="s">
        <v>399</v>
      </c>
      <c r="E344" s="2">
        <v>-0.0523367825301163</v>
      </c>
      <c r="F344" s="2">
        <v>0.103637660526783</v>
      </c>
    </row>
    <row r="345" spans="1:6">
      <c r="A345" s="1" t="s">
        <v>126</v>
      </c>
      <c r="B345" s="2">
        <v>0.0536819260877845</v>
      </c>
      <c r="C345" s="2">
        <v>0.0536819260877845</v>
      </c>
      <c r="D345" s="1" t="s">
        <v>399</v>
      </c>
      <c r="E345" s="2">
        <v>-0.0523367825301163</v>
      </c>
      <c r="F345" s="2">
        <v>0.103637660526783</v>
      </c>
    </row>
    <row r="346" spans="1:6">
      <c r="A346" s="1" t="s">
        <v>126</v>
      </c>
      <c r="B346" s="2">
        <v>0.0323266960346147</v>
      </c>
      <c r="C346" s="2">
        <v>0.0323266960346147</v>
      </c>
      <c r="D346" s="1" t="s">
        <v>399</v>
      </c>
      <c r="E346" s="2">
        <v>-0.0523367825301163</v>
      </c>
      <c r="F346" s="2">
        <v>0.103637660526783</v>
      </c>
    </row>
    <row r="347" spans="1:6">
      <c r="A347" s="1" t="s">
        <v>126</v>
      </c>
      <c r="B347" s="2">
        <v>0.02261298276</v>
      </c>
      <c r="C347" s="2">
        <v>0.02261298276</v>
      </c>
      <c r="D347" s="1" t="s">
        <v>399</v>
      </c>
      <c r="E347" s="2">
        <v>-0.0523367825301163</v>
      </c>
      <c r="F347" s="2">
        <v>0.103637660526783</v>
      </c>
    </row>
    <row r="348" spans="1:6">
      <c r="A348" s="1" t="s">
        <v>126</v>
      </c>
      <c r="B348" s="2">
        <v>0.0899668793904648</v>
      </c>
      <c r="C348" s="2">
        <v>0.0899668793904648</v>
      </c>
      <c r="D348" s="1" t="s">
        <v>399</v>
      </c>
      <c r="E348" s="2">
        <v>-0.0523367825301163</v>
      </c>
      <c r="F348" s="2">
        <v>0.103637660526783</v>
      </c>
    </row>
    <row r="349" spans="1:6">
      <c r="A349" s="1" t="s">
        <v>126</v>
      </c>
      <c r="B349" s="2">
        <v>0.0719284780825407</v>
      </c>
      <c r="C349" s="2">
        <v>0.0719284780825407</v>
      </c>
      <c r="D349" s="1" t="s">
        <v>399</v>
      </c>
      <c r="E349" s="2">
        <v>-0.0523367825301163</v>
      </c>
      <c r="F349" s="2">
        <v>0.103637660526783</v>
      </c>
    </row>
    <row r="350" spans="1:6">
      <c r="A350" s="1" t="s">
        <v>126</v>
      </c>
      <c r="B350" s="2">
        <v>0.0342264225769605</v>
      </c>
      <c r="C350" s="2">
        <v>0.0342264225769605</v>
      </c>
      <c r="D350" s="1" t="s">
        <v>399</v>
      </c>
      <c r="E350" s="2">
        <v>-0.0523367825301163</v>
      </c>
      <c r="F350" s="2">
        <v>0.103637660526783</v>
      </c>
    </row>
    <row r="351" spans="1:6">
      <c r="A351" s="1" t="s">
        <v>126</v>
      </c>
      <c r="B351" s="2">
        <v>0.121231889718242</v>
      </c>
      <c r="C351" s="2">
        <v>0.121231889718242</v>
      </c>
      <c r="D351" s="1" t="s">
        <v>400</v>
      </c>
      <c r="E351" s="2">
        <v>-0.0523367825301163</v>
      </c>
      <c r="F351" s="2">
        <v>0.103637660526783</v>
      </c>
    </row>
    <row r="352" spans="1:6">
      <c r="A352" s="1" t="s">
        <v>126</v>
      </c>
      <c r="B352" s="2">
        <v>0.0536708408950156</v>
      </c>
      <c r="C352" s="2">
        <v>0.0536708408950156</v>
      </c>
      <c r="D352" s="1" t="s">
        <v>399</v>
      </c>
      <c r="E352" s="2">
        <v>-0.0523367825301163</v>
      </c>
      <c r="F352" s="2">
        <v>0.103637660526783</v>
      </c>
    </row>
    <row r="353" spans="1:6">
      <c r="A353" s="1" t="s">
        <v>126</v>
      </c>
      <c r="B353" s="2">
        <v>0.0649964372865606</v>
      </c>
      <c r="C353" s="2">
        <v>0.0649964372865606</v>
      </c>
      <c r="D353" s="1" t="s">
        <v>399</v>
      </c>
      <c r="E353" s="2">
        <v>-0.0523367825301163</v>
      </c>
      <c r="F353" s="2">
        <v>0.103637660526783</v>
      </c>
    </row>
    <row r="354" spans="1:6">
      <c r="A354" s="1" t="s">
        <v>126</v>
      </c>
      <c r="B354" s="2">
        <v>0.0199292621445485</v>
      </c>
      <c r="C354" s="2">
        <v>0.0199292621445485</v>
      </c>
      <c r="D354" s="1" t="s">
        <v>399</v>
      </c>
      <c r="E354" s="2">
        <v>-0.0523367825301163</v>
      </c>
      <c r="F354" s="2">
        <v>0.103637660526783</v>
      </c>
    </row>
    <row r="355" spans="1:6">
      <c r="A355" s="1" t="s">
        <v>126</v>
      </c>
      <c r="B355" s="2">
        <v>0.0109658951106882</v>
      </c>
      <c r="C355" s="2">
        <v>0.0109658951106882</v>
      </c>
      <c r="D355" s="1" t="s">
        <v>399</v>
      </c>
      <c r="E355" s="2">
        <v>-0.0523367825301163</v>
      </c>
      <c r="F355" s="2">
        <v>0.103637660526783</v>
      </c>
    </row>
    <row r="356" spans="1:6">
      <c r="A356" s="1" t="s">
        <v>126</v>
      </c>
      <c r="B356" s="2">
        <v>0.0106197426102333</v>
      </c>
      <c r="C356" s="2">
        <v>0.0106197426102333</v>
      </c>
      <c r="D356" s="1" t="s">
        <v>399</v>
      </c>
      <c r="E356" s="2">
        <v>-0.0523367825301163</v>
      </c>
      <c r="F356" s="2">
        <v>0.103637660526783</v>
      </c>
    </row>
    <row r="357" spans="1:6">
      <c r="A357" s="1" t="s">
        <v>126</v>
      </c>
      <c r="B357" s="2">
        <v>0.01915132523336</v>
      </c>
      <c r="C357" s="2">
        <v>0.01915132523336</v>
      </c>
      <c r="D357" s="1" t="s">
        <v>399</v>
      </c>
      <c r="E357" s="2">
        <v>-0.0523367825301163</v>
      </c>
      <c r="F357" s="2">
        <v>0.103637660526783</v>
      </c>
    </row>
    <row r="358" spans="1:6">
      <c r="A358" s="1" t="s">
        <v>126</v>
      </c>
      <c r="B358" s="2">
        <v>0.025973749223476</v>
      </c>
      <c r="C358" s="2">
        <v>0.025973749223476</v>
      </c>
      <c r="D358" s="1" t="s">
        <v>399</v>
      </c>
      <c r="E358" s="2">
        <v>-0.0523367825301163</v>
      </c>
      <c r="F358" s="2">
        <v>0.103637660526783</v>
      </c>
    </row>
    <row r="359" spans="1:6">
      <c r="A359" s="1" t="s">
        <v>126</v>
      </c>
      <c r="B359" s="2">
        <v>0.028445510628935</v>
      </c>
      <c r="C359" s="2">
        <v>0.028445510628935</v>
      </c>
      <c r="D359" s="1" t="s">
        <v>399</v>
      </c>
      <c r="E359" s="2">
        <v>-0.0523367825301163</v>
      </c>
      <c r="F359" s="2">
        <v>0.103637660526783</v>
      </c>
    </row>
    <row r="360" spans="1:6">
      <c r="A360" s="1" t="s">
        <v>126</v>
      </c>
      <c r="B360" s="2">
        <v>0.00671232242265566</v>
      </c>
      <c r="C360" s="2">
        <v>0.00671232242265566</v>
      </c>
      <c r="D360" s="1" t="s">
        <v>399</v>
      </c>
      <c r="E360" s="2">
        <v>-0.0523367825301163</v>
      </c>
      <c r="F360" s="2">
        <v>0.103637660526783</v>
      </c>
    </row>
    <row r="361" spans="1:6">
      <c r="A361" s="1" t="s">
        <v>126</v>
      </c>
      <c r="B361" s="2">
        <v>0.00513761246164701</v>
      </c>
      <c r="C361" s="2">
        <v>0.00513761246164701</v>
      </c>
      <c r="D361" s="1" t="s">
        <v>399</v>
      </c>
      <c r="E361" s="2">
        <v>-0.0523367825301163</v>
      </c>
      <c r="F361" s="2">
        <v>0.103637660526783</v>
      </c>
    </row>
    <row r="362" spans="1:6">
      <c r="A362" s="1" t="s">
        <v>126</v>
      </c>
      <c r="B362" s="2">
        <v>0.00747489532707865</v>
      </c>
      <c r="C362" s="2">
        <v>0.00747489532707865</v>
      </c>
      <c r="D362" s="1" t="s">
        <v>399</v>
      </c>
      <c r="E362" s="2">
        <v>-0.0523367825301163</v>
      </c>
      <c r="F362" s="2">
        <v>0.103637660526783</v>
      </c>
    </row>
    <row r="363" spans="1:6">
      <c r="A363" s="1" t="s">
        <v>126</v>
      </c>
      <c r="B363" s="2">
        <v>0.126723952761283</v>
      </c>
      <c r="C363" s="2">
        <v>0.126723952761283</v>
      </c>
      <c r="D363" s="1" t="s">
        <v>400</v>
      </c>
      <c r="E363" s="2">
        <v>-0.0523367825301163</v>
      </c>
      <c r="F363" s="2">
        <v>0.103637660526783</v>
      </c>
    </row>
    <row r="364" spans="1:6">
      <c r="A364" s="1" t="s">
        <v>126</v>
      </c>
      <c r="B364" s="2">
        <v>0.0103058957044113</v>
      </c>
      <c r="C364" s="2">
        <v>0.0103058957044113</v>
      </c>
      <c r="D364" s="1" t="s">
        <v>399</v>
      </c>
      <c r="E364" s="2">
        <v>-0.0523367825301163</v>
      </c>
      <c r="F364" s="2">
        <v>0.103637660526783</v>
      </c>
    </row>
    <row r="365" spans="1:6">
      <c r="A365" s="1" t="s">
        <v>126</v>
      </c>
      <c r="B365" s="2">
        <v>0.0177753814755643</v>
      </c>
      <c r="C365" s="2">
        <v>0.0177753814755643</v>
      </c>
      <c r="D365" s="1" t="s">
        <v>399</v>
      </c>
      <c r="E365" s="2">
        <v>-0.0523367825301163</v>
      </c>
      <c r="F365" s="2">
        <v>0.103637660526783</v>
      </c>
    </row>
    <row r="366" spans="1:6">
      <c r="A366" s="1" t="s">
        <v>126</v>
      </c>
      <c r="B366" s="2">
        <v>0.0153479963672457</v>
      </c>
      <c r="C366" s="2">
        <v>0.0153479963672457</v>
      </c>
      <c r="D366" s="1" t="s">
        <v>399</v>
      </c>
      <c r="E366" s="2">
        <v>-0.0523367825301163</v>
      </c>
      <c r="F366" s="2">
        <v>0.103637660526783</v>
      </c>
    </row>
    <row r="367" spans="1:6">
      <c r="A367" s="1" t="s">
        <v>126</v>
      </c>
      <c r="B367" s="2">
        <v>0.0252879807354067</v>
      </c>
      <c r="C367" s="2">
        <v>0.0252879807354067</v>
      </c>
      <c r="D367" s="1" t="s">
        <v>399</v>
      </c>
      <c r="E367" s="2">
        <v>-0.0523367825301163</v>
      </c>
      <c r="F367" s="2">
        <v>0.103637660526783</v>
      </c>
    </row>
    <row r="368" spans="1:6">
      <c r="A368" s="1" t="s">
        <v>126</v>
      </c>
      <c r="B368" s="2">
        <v>0.0567639681538609</v>
      </c>
      <c r="C368" s="2">
        <v>0.0567639681538609</v>
      </c>
      <c r="D368" s="1" t="s">
        <v>399</v>
      </c>
      <c r="E368" s="2">
        <v>-0.0523367825301163</v>
      </c>
      <c r="F368" s="2">
        <v>0.103637660526783</v>
      </c>
    </row>
    <row r="369" spans="1:7">
      <c r="A369" s="1" t="s">
        <v>126</v>
      </c>
      <c r="B369" s="2">
        <v>0.0119735188811035</v>
      </c>
      <c r="C369" s="2">
        <v>0.0119735188811035</v>
      </c>
      <c r="D369" s="1" t="s">
        <v>399</v>
      </c>
      <c r="E369" s="2">
        <v>-0.0523367825301163</v>
      </c>
      <c r="F369" s="2">
        <v>0.103637660526783</v>
      </c>
    </row>
    <row r="370" spans="1:7">
      <c r="A370" s="1" t="s">
        <v>126</v>
      </c>
      <c r="B370" s="2">
        <v>0.0113261123062454</v>
      </c>
      <c r="C370" s="2">
        <v>0.0113261123062454</v>
      </c>
      <c r="D370" s="1" t="s">
        <v>399</v>
      </c>
      <c r="E370" s="2">
        <v>-0.0523367825301163</v>
      </c>
      <c r="F370" s="2">
        <v>0.103637660526783</v>
      </c>
    </row>
    <row r="371" spans="1:7">
      <c r="A371" s="1" t="s">
        <v>160</v>
      </c>
      <c r="B371" s="2">
        <v>0.048</v>
      </c>
      <c r="C371" s="2">
        <v>0.048</v>
      </c>
      <c r="D371" s="1" t="s">
        <v>399</v>
      </c>
      <c r="E371" s="2">
        <v>-0.7626</v>
      </c>
      <c r="F371" s="2">
        <v>1.32796</v>
      </c>
    </row>
    <row r="372" spans="1:7">
      <c r="A372" s="1" t="s">
        <v>249</v>
      </c>
      <c r="B372" s="2">
        <v>0.00402877697841727</v>
      </c>
      <c r="C372" s="2">
        <v>0.00402877697841727</v>
      </c>
      <c r="D372" s="1" t="s">
        <v>399</v>
      </c>
      <c r="E372" s="2">
        <v>-0.0456947399741462</v>
      </c>
      <c r="F372" s="2">
        <v>0.0952044308707162</v>
      </c>
      <c r="G372" s="1">
        <v>1</v>
      </c>
    </row>
    <row r="373" spans="1:7">
      <c r="A373" s="1" t="s">
        <v>249</v>
      </c>
      <c r="B373" s="2">
        <v>0.0121044456350834</v>
      </c>
      <c r="C373" s="2">
        <v>0.0121044456350834</v>
      </c>
      <c r="D373" s="1" t="s">
        <v>399</v>
      </c>
      <c r="E373" s="2">
        <v>-0.0456947399741462</v>
      </c>
      <c r="F373" s="2">
        <v>0.0952044308707162</v>
      </c>
      <c r="G373" s="1">
        <v>1</v>
      </c>
    </row>
    <row r="374" spans="1:7">
      <c r="A374" s="1" t="s">
        <v>249</v>
      </c>
      <c r="B374" s="2">
        <v>0.00251539591246751</v>
      </c>
      <c r="C374" s="2">
        <v>0.00251539591246751</v>
      </c>
      <c r="D374" s="1" t="s">
        <v>399</v>
      </c>
      <c r="E374" s="2">
        <v>-0.0456947399741462</v>
      </c>
      <c r="F374" s="2">
        <v>0.0952044308707162</v>
      </c>
      <c r="G374" s="1">
        <v>1</v>
      </c>
    </row>
    <row r="375" spans="1:7">
      <c r="A375" s="1" t="s">
        <v>249</v>
      </c>
      <c r="B375" s="2">
        <v>0.00824797024104871</v>
      </c>
      <c r="C375" s="2">
        <v>0.00824797024104871</v>
      </c>
      <c r="D375" s="1" t="s">
        <v>399</v>
      </c>
      <c r="E375" s="2">
        <v>-0.0456947399741462</v>
      </c>
      <c r="F375" s="2">
        <v>0.0952044308707162</v>
      </c>
      <c r="G375" s="1">
        <v>1</v>
      </c>
    </row>
    <row r="376" spans="1:7">
      <c r="A376" s="1" t="s">
        <v>249</v>
      </c>
      <c r="B376" s="2">
        <v>0.003936</v>
      </c>
      <c r="C376" s="2">
        <v>0.003936</v>
      </c>
      <c r="D376" s="1" t="s">
        <v>399</v>
      </c>
      <c r="E376" s="2">
        <v>-0.0456947399741462</v>
      </c>
      <c r="F376" s="2">
        <v>0.0952044308707162</v>
      </c>
      <c r="G376" s="1">
        <v>1</v>
      </c>
    </row>
    <row r="377" spans="1:7">
      <c r="A377" s="1" t="s">
        <v>249</v>
      </c>
      <c r="B377" s="2">
        <v>0.00564</v>
      </c>
      <c r="C377" s="2">
        <v>0.00564</v>
      </c>
      <c r="D377" s="1" t="s">
        <v>399</v>
      </c>
      <c r="E377" s="2">
        <v>-0.0456947399741462</v>
      </c>
      <c r="F377" s="2">
        <v>0.0952044308707162</v>
      </c>
      <c r="G377" s="1">
        <v>1</v>
      </c>
    </row>
    <row r="378" spans="1:7">
      <c r="A378" s="1" t="s">
        <v>249</v>
      </c>
      <c r="B378" s="2">
        <v>0.00102441929720071</v>
      </c>
      <c r="C378" s="2">
        <v>0.00102441929720071</v>
      </c>
      <c r="D378" s="1" t="s">
        <v>399</v>
      </c>
      <c r="E378" s="2">
        <v>-0.0456947399741462</v>
      </c>
      <c r="F378" s="2">
        <v>0.0952044308707162</v>
      </c>
      <c r="G378" s="1">
        <v>1</v>
      </c>
    </row>
    <row r="379" spans="1:7">
      <c r="A379" s="1" t="s">
        <v>249</v>
      </c>
      <c r="B379" s="2">
        <v>0.00235616438356164</v>
      </c>
      <c r="C379" s="2">
        <v>0.00235616438356164</v>
      </c>
      <c r="D379" s="1" t="s">
        <v>399</v>
      </c>
      <c r="E379" s="2">
        <v>-0.0456947399741462</v>
      </c>
      <c r="F379" s="2">
        <v>0.0952044308707162</v>
      </c>
      <c r="G379" s="1">
        <v>1</v>
      </c>
    </row>
    <row r="380" spans="1:7">
      <c r="A380" s="1" t="s">
        <v>249</v>
      </c>
      <c r="B380" s="2">
        <v>0.02712</v>
      </c>
      <c r="C380" s="2">
        <v>0.02712</v>
      </c>
      <c r="D380" s="1" t="s">
        <v>399</v>
      </c>
      <c r="E380" s="2">
        <v>-0.0456947399741462</v>
      </c>
      <c r="F380" s="2">
        <v>0.0952044308707162</v>
      </c>
      <c r="G380" s="1">
        <v>1</v>
      </c>
    </row>
    <row r="381" spans="1:7">
      <c r="A381" s="1" t="s">
        <v>249</v>
      </c>
      <c r="B381" s="2">
        <v>0.0264</v>
      </c>
      <c r="C381" s="2">
        <v>0.0264</v>
      </c>
      <c r="D381" s="1" t="s">
        <v>399</v>
      </c>
      <c r="E381" s="2">
        <v>-0.0456947399741462</v>
      </c>
      <c r="F381" s="2">
        <v>0.0952044308707162</v>
      </c>
      <c r="G381" s="1">
        <v>1</v>
      </c>
    </row>
    <row r="382" spans="1:7">
      <c r="A382" s="1" t="s">
        <v>249</v>
      </c>
      <c r="B382" s="2">
        <v>0.0408</v>
      </c>
      <c r="C382" s="2">
        <v>0.0408</v>
      </c>
      <c r="D382" s="1" t="s">
        <v>399</v>
      </c>
      <c r="E382" s="2">
        <v>-0.0456947399741462</v>
      </c>
      <c r="F382" s="2">
        <v>0.0952044308707162</v>
      </c>
      <c r="G382" s="1">
        <v>1</v>
      </c>
    </row>
    <row r="383" spans="1:7">
      <c r="A383" s="1" t="s">
        <v>249</v>
      </c>
      <c r="B383" s="2">
        <v>0.0216</v>
      </c>
      <c r="C383" s="2">
        <v>0.0216</v>
      </c>
      <c r="D383" s="1" t="s">
        <v>399</v>
      </c>
      <c r="E383" s="2">
        <v>-0.0456947399741462</v>
      </c>
      <c r="F383" s="2">
        <v>0.0952044308707162</v>
      </c>
      <c r="G383" s="1">
        <v>1</v>
      </c>
    </row>
    <row r="384" spans="1:7">
      <c r="A384" s="1" t="s">
        <v>249</v>
      </c>
      <c r="B384" s="2">
        <v>0.0288</v>
      </c>
      <c r="C384" s="2">
        <v>0.0288</v>
      </c>
      <c r="D384" s="1" t="s">
        <v>399</v>
      </c>
      <c r="E384" s="2">
        <v>-0.0456947399741462</v>
      </c>
      <c r="F384" s="2">
        <v>0.0952044308707162</v>
      </c>
      <c r="G384" s="1">
        <v>1</v>
      </c>
    </row>
    <row r="385" spans="1:7">
      <c r="A385" s="1" t="s">
        <v>249</v>
      </c>
      <c r="B385" s="2">
        <v>0.0123914427587321</v>
      </c>
      <c r="C385" s="2">
        <v>0.0123914427587321</v>
      </c>
      <c r="D385" s="1" t="s">
        <v>399</v>
      </c>
      <c r="E385" s="2">
        <v>-0.0456947399741462</v>
      </c>
      <c r="F385" s="2">
        <v>0.0952044308707162</v>
      </c>
      <c r="G385" s="1">
        <v>1</v>
      </c>
    </row>
    <row r="386" spans="1:7">
      <c r="A386" s="1" t="s">
        <v>249</v>
      </c>
      <c r="B386" s="2">
        <v>0.0156</v>
      </c>
      <c r="C386" s="2">
        <v>0.0156</v>
      </c>
      <c r="D386" s="1" t="s">
        <v>399</v>
      </c>
      <c r="E386" s="2">
        <v>-0.0456947399741462</v>
      </c>
      <c r="F386" s="2">
        <v>0.0952044308707162</v>
      </c>
      <c r="G386" s="1">
        <v>1</v>
      </c>
    </row>
    <row r="387" spans="1:7">
      <c r="A387" s="1" t="s">
        <v>249</v>
      </c>
      <c r="B387" s="2">
        <v>0.021624</v>
      </c>
      <c r="C387" s="2">
        <v>0.021624</v>
      </c>
      <c r="D387" s="1" t="s">
        <v>399</v>
      </c>
      <c r="E387" s="2">
        <v>-0.0456947399741462</v>
      </c>
      <c r="F387" s="2">
        <v>0.0952044308707162</v>
      </c>
      <c r="G387" s="1">
        <v>1</v>
      </c>
    </row>
    <row r="388" spans="1:7">
      <c r="A388" s="1" t="s">
        <v>249</v>
      </c>
      <c r="B388" s="2">
        <v>0.00122781774580336</v>
      </c>
      <c r="C388" s="2">
        <v>0.00122781774580336</v>
      </c>
      <c r="D388" s="1" t="s">
        <v>399</v>
      </c>
      <c r="E388" s="2">
        <v>-0.0456947399741462</v>
      </c>
      <c r="F388" s="2">
        <v>0.0952044308707162</v>
      </c>
      <c r="G388" s="1">
        <v>1</v>
      </c>
    </row>
    <row r="389" spans="1:7">
      <c r="A389" s="1" t="s">
        <v>249</v>
      </c>
      <c r="B389" s="2">
        <v>0.000402877697841727</v>
      </c>
      <c r="C389" s="2">
        <v>0.000402877697841727</v>
      </c>
      <c r="D389" s="1" t="s">
        <v>399</v>
      </c>
      <c r="E389" s="2">
        <v>-0.0456947399741462</v>
      </c>
      <c r="F389" s="2">
        <v>0.0952044308707162</v>
      </c>
      <c r="G389" s="1">
        <v>1</v>
      </c>
    </row>
    <row r="390" spans="1:7">
      <c r="A390" s="1" t="s">
        <v>249</v>
      </c>
      <c r="B390" s="2">
        <v>0.000690647482014389</v>
      </c>
      <c r="C390" s="2">
        <v>0.000690647482014389</v>
      </c>
      <c r="D390" s="1" t="s">
        <v>399</v>
      </c>
      <c r="E390" s="2">
        <v>-0.0456947399741462</v>
      </c>
      <c r="F390" s="2">
        <v>0.0952044308707162</v>
      </c>
      <c r="G390" s="1">
        <v>1</v>
      </c>
    </row>
    <row r="391" spans="1:7">
      <c r="A391" s="1" t="s">
        <v>249</v>
      </c>
      <c r="B391" s="2">
        <v>0.00161151079136691</v>
      </c>
      <c r="C391" s="2">
        <v>0.00161151079136691</v>
      </c>
      <c r="D391" s="1" t="s">
        <v>399</v>
      </c>
      <c r="E391" s="2">
        <v>-0.0456947399741462</v>
      </c>
      <c r="F391" s="2">
        <v>0.0952044308707162</v>
      </c>
      <c r="G391" s="1">
        <v>1</v>
      </c>
    </row>
    <row r="392" spans="1:7">
      <c r="A392" s="1" t="s">
        <v>249</v>
      </c>
      <c r="B392" s="2">
        <v>0.00032</v>
      </c>
      <c r="C392" s="2">
        <v>0.00032</v>
      </c>
      <c r="D392" s="1" t="s">
        <v>399</v>
      </c>
      <c r="E392" s="2">
        <v>-0.0456947399741462</v>
      </c>
      <c r="F392" s="2">
        <v>0.0952044308707162</v>
      </c>
      <c r="G392" s="1">
        <v>1</v>
      </c>
    </row>
    <row r="393" spans="1:7">
      <c r="A393" s="1" t="s">
        <v>249</v>
      </c>
      <c r="B393" s="2">
        <v>0.1272</v>
      </c>
      <c r="C393" s="2">
        <v>0.1272</v>
      </c>
      <c r="D393" s="1" t="s">
        <v>400</v>
      </c>
      <c r="E393" s="2">
        <v>-0.0456947399741462</v>
      </c>
      <c r="F393" s="2">
        <v>0.0952044308707162</v>
      </c>
      <c r="G393" s="1">
        <v>1</v>
      </c>
    </row>
    <row r="394" spans="1:7">
      <c r="A394" s="1" t="s">
        <v>249</v>
      </c>
      <c r="B394" s="2">
        <v>0.0288</v>
      </c>
      <c r="C394" s="2">
        <v>0.0288</v>
      </c>
      <c r="D394" s="1" t="s">
        <v>399</v>
      </c>
      <c r="E394" s="2">
        <v>-0.0456947399741462</v>
      </c>
      <c r="F394" s="2">
        <v>0.0952044308707162</v>
      </c>
      <c r="G394" s="1">
        <v>1</v>
      </c>
    </row>
    <row r="395" spans="1:7">
      <c r="A395" s="1" t="s">
        <v>249</v>
      </c>
      <c r="B395" s="2">
        <v>0.0192</v>
      </c>
      <c r="C395" s="2">
        <v>0.0192</v>
      </c>
      <c r="D395" s="1" t="s">
        <v>399</v>
      </c>
      <c r="E395" s="2">
        <v>-0.0456947399741462</v>
      </c>
      <c r="F395" s="2">
        <v>0.0952044308707162</v>
      </c>
      <c r="G395" s="1">
        <v>1</v>
      </c>
    </row>
    <row r="396" spans="1:7">
      <c r="A396" s="1" t="s">
        <v>249</v>
      </c>
      <c r="B396" s="2">
        <v>0.0346874409633775</v>
      </c>
      <c r="C396" s="2">
        <v>0.0346874409633775</v>
      </c>
      <c r="D396" s="1" t="s">
        <v>399</v>
      </c>
      <c r="E396" s="2">
        <v>-0.0456947399741462</v>
      </c>
      <c r="F396" s="2">
        <v>0.0952044308707162</v>
      </c>
      <c r="G396" s="1">
        <v>1</v>
      </c>
    </row>
    <row r="397" spans="1:7">
      <c r="A397" s="1" t="s">
        <v>249</v>
      </c>
      <c r="B397" s="2">
        <v>0.0155577674616669</v>
      </c>
      <c r="C397" s="2">
        <v>0.0155577674616669</v>
      </c>
      <c r="D397" s="1" t="s">
        <v>399</v>
      </c>
      <c r="E397" s="2">
        <v>-0.0456947399741462</v>
      </c>
      <c r="F397" s="2">
        <v>0.0952044308707162</v>
      </c>
      <c r="G397" s="1">
        <v>1</v>
      </c>
    </row>
    <row r="398" spans="1:7">
      <c r="A398" s="1" t="s">
        <v>249</v>
      </c>
      <c r="B398" s="2">
        <v>0.104230679181281</v>
      </c>
      <c r="C398" s="2">
        <v>0.104230679181281</v>
      </c>
      <c r="D398" s="1" t="s">
        <v>400</v>
      </c>
      <c r="E398" s="2">
        <v>-0.0456947399741462</v>
      </c>
      <c r="F398" s="2">
        <v>0.0952044308707162</v>
      </c>
      <c r="G398" s="1">
        <v>1</v>
      </c>
    </row>
    <row r="399" spans="1:7">
      <c r="A399" s="1" t="s">
        <v>249</v>
      </c>
      <c r="B399" s="2">
        <v>0.0332084788042243</v>
      </c>
      <c r="C399" s="2">
        <v>0.0332084788042243</v>
      </c>
      <c r="D399" s="1" t="s">
        <v>399</v>
      </c>
      <c r="E399" s="2">
        <v>-0.0456947399741462</v>
      </c>
      <c r="F399" s="2">
        <v>0.0952044308707162</v>
      </c>
      <c r="G399" s="1">
        <v>1</v>
      </c>
    </row>
    <row r="400" spans="1:7">
      <c r="A400" s="1" t="s">
        <v>249</v>
      </c>
      <c r="B400" s="2">
        <v>0.0222241660724222</v>
      </c>
      <c r="C400" s="2">
        <v>0.0222241660724222</v>
      </c>
      <c r="D400" s="1" t="s">
        <v>399</v>
      </c>
      <c r="E400" s="2">
        <v>-0.0456947399741462</v>
      </c>
      <c r="F400" s="2">
        <v>0.0952044308707162</v>
      </c>
      <c r="G400" s="1">
        <v>1</v>
      </c>
    </row>
    <row r="401" spans="1:7">
      <c r="A401" s="1" t="s">
        <v>249</v>
      </c>
      <c r="B401" s="2">
        <v>0.1111824649775</v>
      </c>
      <c r="C401" s="2">
        <v>0.1111824649775</v>
      </c>
      <c r="D401" s="1" t="s">
        <v>400</v>
      </c>
      <c r="E401" s="2">
        <v>-0.0456947399741462</v>
      </c>
      <c r="F401" s="2">
        <v>0.0952044308707162</v>
      </c>
      <c r="G401" s="1">
        <v>1</v>
      </c>
    </row>
    <row r="402" spans="1:7">
      <c r="A402" s="1" t="s">
        <v>249</v>
      </c>
      <c r="B402" s="2">
        <v>0.0487962946464331</v>
      </c>
      <c r="C402" s="2">
        <v>0.0487962946464331</v>
      </c>
      <c r="D402" s="1" t="s">
        <v>399</v>
      </c>
      <c r="E402" s="2">
        <v>-0.0456947399741462</v>
      </c>
      <c r="F402" s="2">
        <v>0.0952044308707162</v>
      </c>
      <c r="G402" s="1">
        <v>1</v>
      </c>
    </row>
    <row r="403" spans="1:7">
      <c r="A403" s="1" t="s">
        <v>249</v>
      </c>
      <c r="B403" s="2">
        <v>0.388230383391198</v>
      </c>
      <c r="C403" s="2">
        <v>0.388230383391198</v>
      </c>
      <c r="D403" s="1" t="s">
        <v>400</v>
      </c>
      <c r="E403" s="2">
        <v>-0.0456947399741462</v>
      </c>
      <c r="F403" s="2">
        <v>0.0952044308707162</v>
      </c>
      <c r="G403" s="1">
        <v>1</v>
      </c>
    </row>
    <row r="404" spans="1:7">
      <c r="A404" s="1" t="s">
        <v>249</v>
      </c>
      <c r="B404" s="2">
        <v>0.115745327993387</v>
      </c>
      <c r="C404" s="2">
        <v>0.115745327993387</v>
      </c>
      <c r="D404" s="1" t="s">
        <v>400</v>
      </c>
      <c r="E404" s="2">
        <v>-0.0456947399741462</v>
      </c>
      <c r="F404" s="2">
        <v>0.0952044308707162</v>
      </c>
      <c r="G404" s="1">
        <v>1</v>
      </c>
    </row>
    <row r="405" spans="1:7">
      <c r="A405" s="1" t="s">
        <v>249</v>
      </c>
      <c r="B405" s="2">
        <v>0.00562173822682097</v>
      </c>
      <c r="C405" s="2">
        <v>0.00562173822682097</v>
      </c>
      <c r="D405" s="1" t="s">
        <v>399</v>
      </c>
      <c r="E405" s="2">
        <v>-0.0456947399741462</v>
      </c>
      <c r="F405" s="2">
        <v>0.0952044308707162</v>
      </c>
      <c r="G405" s="1">
        <v>1</v>
      </c>
    </row>
    <row r="406" spans="1:7">
      <c r="A406" s="1" t="s">
        <v>249</v>
      </c>
      <c r="B406" s="2">
        <v>0.0160172092351382</v>
      </c>
      <c r="C406" s="2">
        <v>0.0160172092351382</v>
      </c>
      <c r="D406" s="1" t="s">
        <v>399</v>
      </c>
      <c r="E406" s="2">
        <v>-0.0456947399741462</v>
      </c>
      <c r="F406" s="2">
        <v>0.0952044308707162</v>
      </c>
      <c r="G406" s="1">
        <v>1</v>
      </c>
    </row>
    <row r="407" spans="1:7">
      <c r="A407" s="1" t="s">
        <v>249</v>
      </c>
      <c r="B407" s="2">
        <v>0.0207654089888306</v>
      </c>
      <c r="C407" s="2">
        <v>0.0207654089888306</v>
      </c>
      <c r="D407" s="1" t="s">
        <v>399</v>
      </c>
      <c r="E407" s="2">
        <v>-0.0456947399741462</v>
      </c>
      <c r="F407" s="2">
        <v>0.0952044308707162</v>
      </c>
      <c r="G407" s="1">
        <v>1</v>
      </c>
    </row>
    <row r="408" spans="1:7">
      <c r="A408" s="1" t="s">
        <v>249</v>
      </c>
      <c r="B408" s="2">
        <v>0.0121635631143613</v>
      </c>
      <c r="C408" s="2">
        <v>0.0121635631143613</v>
      </c>
      <c r="D408" s="1" t="s">
        <v>399</v>
      </c>
      <c r="E408" s="2">
        <v>-0.0456947399741462</v>
      </c>
      <c r="F408" s="2">
        <v>0.0952044308707162</v>
      </c>
      <c r="G408" s="1">
        <v>1</v>
      </c>
    </row>
    <row r="409" spans="1:7">
      <c r="A409" s="1" t="s">
        <v>249</v>
      </c>
      <c r="B409" s="2">
        <v>0.0288365314160124</v>
      </c>
      <c r="C409" s="2">
        <v>0.0288365314160124</v>
      </c>
      <c r="D409" s="1" t="s">
        <v>399</v>
      </c>
      <c r="E409" s="2">
        <v>-0.0456947399741462</v>
      </c>
      <c r="F409" s="2">
        <v>0.0952044308707162</v>
      </c>
      <c r="G409" s="1">
        <v>1</v>
      </c>
    </row>
    <row r="410" spans="1:7">
      <c r="A410" s="1" t="s">
        <v>249</v>
      </c>
      <c r="B410" s="2">
        <v>0.0629828062845713</v>
      </c>
      <c r="C410" s="2">
        <v>0.0629828062845713</v>
      </c>
      <c r="D410" s="1" t="s">
        <v>399</v>
      </c>
      <c r="E410" s="2">
        <v>-0.0456947399741462</v>
      </c>
      <c r="F410" s="2">
        <v>0.0952044308707162</v>
      </c>
      <c r="G410" s="1">
        <v>1</v>
      </c>
    </row>
    <row r="411" spans="1:7">
      <c r="A411" s="1" t="s">
        <v>249</v>
      </c>
      <c r="B411" s="2">
        <v>0.00618806425804504</v>
      </c>
      <c r="C411" s="2">
        <v>0.00618806425804504</v>
      </c>
      <c r="D411" s="1" t="s">
        <v>399</v>
      </c>
      <c r="E411" s="2">
        <v>-0.0456947399741462</v>
      </c>
      <c r="F411" s="2">
        <v>0.0952044308707162</v>
      </c>
      <c r="G411" s="1">
        <v>1</v>
      </c>
    </row>
    <row r="412" spans="1:7">
      <c r="A412" s="1" t="s">
        <v>249</v>
      </c>
      <c r="B412" s="2">
        <v>0.0418247131734263</v>
      </c>
      <c r="C412" s="2">
        <v>0.0418247131734263</v>
      </c>
      <c r="D412" s="1" t="s">
        <v>399</v>
      </c>
      <c r="E412" s="2">
        <v>-0.0456947399741462</v>
      </c>
      <c r="F412" s="2">
        <v>0.0952044308707162</v>
      </c>
      <c r="G412" s="1">
        <v>1</v>
      </c>
    </row>
    <row r="413" spans="1:7">
      <c r="A413" s="1" t="s">
        <v>249</v>
      </c>
      <c r="B413" s="2">
        <v>0.167745629707237</v>
      </c>
      <c r="C413" s="2">
        <v>0.167745629707237</v>
      </c>
      <c r="D413" s="1" t="s">
        <v>400</v>
      </c>
      <c r="E413" s="2">
        <v>-0.0456947399741462</v>
      </c>
      <c r="F413" s="2">
        <v>0.0952044308707162</v>
      </c>
      <c r="G413" s="1">
        <v>1</v>
      </c>
    </row>
    <row r="414" spans="1:7">
      <c r="A414" s="1" t="s">
        <v>249</v>
      </c>
      <c r="B414" s="2">
        <v>0.000498482133836549</v>
      </c>
      <c r="C414" s="2">
        <v>0.000498482133836549</v>
      </c>
      <c r="D414" s="1" t="s">
        <v>399</v>
      </c>
      <c r="E414" s="2">
        <v>-0.0456947399741462</v>
      </c>
      <c r="F414" s="2">
        <v>0.0952044308707162</v>
      </c>
      <c r="G414" s="1">
        <v>1</v>
      </c>
    </row>
    <row r="415" spans="1:7">
      <c r="A415" s="1" t="s">
        <v>249</v>
      </c>
      <c r="B415" s="2">
        <v>0.0164015936562683</v>
      </c>
      <c r="C415" s="2">
        <v>0.0164015936562683</v>
      </c>
      <c r="D415" s="1" t="s">
        <v>399</v>
      </c>
      <c r="E415" s="2">
        <v>-0.0456947399741462</v>
      </c>
      <c r="F415" s="2">
        <v>0.0952044308707162</v>
      </c>
      <c r="G415" s="1">
        <v>1</v>
      </c>
    </row>
    <row r="416" spans="1:7">
      <c r="A416" s="1" t="s">
        <v>249</v>
      </c>
      <c r="B416" s="2">
        <v>0.512682333127564</v>
      </c>
      <c r="C416" s="2">
        <v>0.512682333127564</v>
      </c>
      <c r="D416" s="1" t="s">
        <v>400</v>
      </c>
      <c r="E416" s="2">
        <v>-0.0456947399741462</v>
      </c>
      <c r="F416" s="2">
        <v>0.0952044308707162</v>
      </c>
      <c r="G416" s="1">
        <v>1</v>
      </c>
    </row>
    <row r="417" spans="1:7">
      <c r="A417" s="1" t="s">
        <v>249</v>
      </c>
      <c r="B417" s="2">
        <v>0.0032953771140782</v>
      </c>
      <c r="C417" s="2">
        <v>0.0032953771140782</v>
      </c>
      <c r="D417" s="1" t="s">
        <v>399</v>
      </c>
      <c r="E417" s="2">
        <v>-0.0456947399741462</v>
      </c>
      <c r="F417" s="2">
        <v>0.0952044308707162</v>
      </c>
      <c r="G417" s="1">
        <v>1</v>
      </c>
    </row>
    <row r="418" spans="1:7">
      <c r="A418" s="1" t="s">
        <v>249</v>
      </c>
      <c r="B418" s="2">
        <v>0.0149039553155347</v>
      </c>
      <c r="C418" s="2">
        <v>0.0149039553155347</v>
      </c>
      <c r="D418" s="1" t="s">
        <v>399</v>
      </c>
      <c r="E418" s="2">
        <v>-0.0456947399741462</v>
      </c>
      <c r="F418" s="2">
        <v>0.0952044308707162</v>
      </c>
      <c r="G418" s="1">
        <v>1</v>
      </c>
    </row>
    <row r="419" spans="1:7">
      <c r="A419" s="1" t="s">
        <v>249</v>
      </c>
      <c r="B419" s="2">
        <v>0.0320223317051145</v>
      </c>
      <c r="C419" s="2">
        <v>0.0320223317051145</v>
      </c>
      <c r="D419" s="1" t="s">
        <v>399</v>
      </c>
      <c r="E419" s="2">
        <v>-0.0456947399741462</v>
      </c>
      <c r="F419" s="2">
        <v>0.0952044308707162</v>
      </c>
      <c r="G419" s="1">
        <v>1</v>
      </c>
    </row>
    <row r="420" spans="1:7">
      <c r="A420" s="1" t="s">
        <v>249</v>
      </c>
      <c r="B420" s="2">
        <v>0.0213821985161558</v>
      </c>
      <c r="C420" s="2">
        <v>0.0213821985161558</v>
      </c>
      <c r="D420" s="1" t="s">
        <v>399</v>
      </c>
      <c r="E420" s="2">
        <v>-0.0456947399741462</v>
      </c>
      <c r="F420" s="2">
        <v>0.0952044308707162</v>
      </c>
      <c r="G420" s="1">
        <v>1</v>
      </c>
    </row>
    <row r="421" spans="1:7">
      <c r="A421" s="1" t="s">
        <v>249</v>
      </c>
      <c r="B421" s="2">
        <v>0.038057779103223</v>
      </c>
      <c r="C421" s="2">
        <v>0.038057779103223</v>
      </c>
      <c r="D421" s="1" t="s">
        <v>399</v>
      </c>
      <c r="E421" s="2">
        <v>-0.0456947399741462</v>
      </c>
      <c r="F421" s="2">
        <v>0.0952044308707162</v>
      </c>
      <c r="G421" s="1">
        <v>1</v>
      </c>
    </row>
    <row r="422" spans="1:7">
      <c r="A422" s="1" t="s">
        <v>249</v>
      </c>
      <c r="B422" s="2">
        <v>0.00320212817453902</v>
      </c>
      <c r="C422" s="2">
        <v>0.00320212817453902</v>
      </c>
      <c r="D422" s="1" t="s">
        <v>399</v>
      </c>
      <c r="E422" s="2">
        <v>-0.0456947399741462</v>
      </c>
      <c r="F422" s="2">
        <v>0.0952044308707162</v>
      </c>
      <c r="G422" s="1">
        <v>1</v>
      </c>
    </row>
    <row r="423" spans="1:7">
      <c r="A423" s="1" t="s">
        <v>249</v>
      </c>
      <c r="B423" s="2">
        <v>0.0106782374187016</v>
      </c>
      <c r="C423" s="2">
        <v>0.0106782374187016</v>
      </c>
      <c r="D423" s="1" t="s">
        <v>399</v>
      </c>
      <c r="E423" s="2">
        <v>-0.0456947399741462</v>
      </c>
      <c r="F423" s="2">
        <v>0.0952044308707162</v>
      </c>
      <c r="G423" s="1">
        <v>1</v>
      </c>
    </row>
    <row r="424" spans="1:7">
      <c r="A424" s="1" t="s">
        <v>249</v>
      </c>
      <c r="B424" s="2">
        <v>0.0108587754786079</v>
      </c>
      <c r="C424" s="2">
        <v>0.0108587754786079</v>
      </c>
      <c r="D424" s="1" t="s">
        <v>399</v>
      </c>
      <c r="E424" s="2">
        <v>-0.0456947399741462</v>
      </c>
      <c r="F424" s="2">
        <v>0.0952044308707162</v>
      </c>
      <c r="G424" s="1">
        <v>1</v>
      </c>
    </row>
    <row r="425" spans="1:7">
      <c r="A425" s="1" t="s">
        <v>249</v>
      </c>
      <c r="B425" s="2">
        <v>0.00981765967549915</v>
      </c>
      <c r="C425" s="2">
        <v>0.00981765967549915</v>
      </c>
      <c r="D425" s="1" t="s">
        <v>399</v>
      </c>
      <c r="E425" s="2">
        <v>-0.0456947399741462</v>
      </c>
      <c r="F425" s="2">
        <v>0.0952044308707162</v>
      </c>
      <c r="G425" s="1">
        <v>1</v>
      </c>
    </row>
    <row r="426" spans="1:7">
      <c r="A426" s="1" t="s">
        <v>249</v>
      </c>
      <c r="B426" s="2">
        <v>0.0463922003678017</v>
      </c>
      <c r="C426" s="2">
        <v>0.0463922003678017</v>
      </c>
      <c r="D426" s="1" t="s">
        <v>399</v>
      </c>
      <c r="E426" s="2">
        <v>-0.0456947399741462</v>
      </c>
      <c r="F426" s="2">
        <v>0.0952044308707162</v>
      </c>
      <c r="G426" s="1">
        <v>1</v>
      </c>
    </row>
    <row r="427" spans="1:7">
      <c r="A427" s="1" t="s">
        <v>249</v>
      </c>
      <c r="B427" s="2">
        <v>0.152948182935</v>
      </c>
      <c r="C427" s="2">
        <v>0.152948182935</v>
      </c>
      <c r="D427" s="1" t="s">
        <v>400</v>
      </c>
      <c r="E427" s="2">
        <v>-0.0456947399741462</v>
      </c>
      <c r="F427" s="2">
        <v>0.0952044308707162</v>
      </c>
      <c r="G427" s="1">
        <v>1</v>
      </c>
    </row>
    <row r="428" spans="1:7">
      <c r="A428" s="1" t="s">
        <v>249</v>
      </c>
      <c r="B428" s="2">
        <v>0.0373413550675002</v>
      </c>
      <c r="C428" s="2">
        <v>0.0373413550675002</v>
      </c>
      <c r="D428" s="1" t="s">
        <v>399</v>
      </c>
      <c r="E428" s="2">
        <v>-0.0456947399741462</v>
      </c>
      <c r="F428" s="2">
        <v>0.0952044308707162</v>
      </c>
      <c r="G428" s="1">
        <v>1</v>
      </c>
    </row>
    <row r="429" spans="1:7">
      <c r="A429" s="1" t="s">
        <v>249</v>
      </c>
      <c r="B429" s="2">
        <v>0.0899159223771141</v>
      </c>
      <c r="C429" s="2">
        <v>0.0899159223771141</v>
      </c>
      <c r="D429" s="1" t="s">
        <v>399</v>
      </c>
      <c r="E429" s="2">
        <v>-0.0456947399741462</v>
      </c>
      <c r="F429" s="2">
        <v>0.0952044308707162</v>
      </c>
      <c r="G429" s="1">
        <v>1</v>
      </c>
    </row>
    <row r="430" spans="1:7">
      <c r="A430" s="1" t="s">
        <v>249</v>
      </c>
      <c r="B430" s="2">
        <v>0.00463958682843951</v>
      </c>
      <c r="C430" s="2">
        <v>0.00463958682843951</v>
      </c>
      <c r="D430" s="1" t="s">
        <v>399</v>
      </c>
      <c r="E430" s="2">
        <v>-0.0456947399741462</v>
      </c>
      <c r="F430" s="2">
        <v>0.0952044308707162</v>
      </c>
      <c r="G430" s="1">
        <v>1</v>
      </c>
    </row>
    <row r="431" spans="1:7">
      <c r="A431" s="1" t="s">
        <v>249</v>
      </c>
      <c r="B431" s="2">
        <v>0.0852488836701044</v>
      </c>
      <c r="C431" s="2">
        <v>0.0852488836701044</v>
      </c>
      <c r="D431" s="1" t="s">
        <v>399</v>
      </c>
      <c r="E431" s="2">
        <v>-0.0456947399741462</v>
      </c>
      <c r="F431" s="2">
        <v>0.0952044308707162</v>
      </c>
      <c r="G431" s="1">
        <v>1</v>
      </c>
    </row>
    <row r="432" spans="1:7">
      <c r="A432" s="1" t="s">
        <v>249</v>
      </c>
      <c r="B432" s="2">
        <v>0.0444174239750504</v>
      </c>
      <c r="C432" s="2">
        <v>0.0444174239750504</v>
      </c>
      <c r="D432" s="1" t="s">
        <v>399</v>
      </c>
      <c r="E432" s="2">
        <v>-0.0456947399741462</v>
      </c>
      <c r="F432" s="2">
        <v>0.0952044308707162</v>
      </c>
      <c r="G432" s="1">
        <v>1</v>
      </c>
    </row>
    <row r="433" spans="1:7">
      <c r="A433" s="1" t="s">
        <v>249</v>
      </c>
      <c r="B433" s="2">
        <v>0.0178020619146679</v>
      </c>
      <c r="C433" s="2">
        <v>0.0178020619146679</v>
      </c>
      <c r="D433" s="1" t="s">
        <v>399</v>
      </c>
      <c r="E433" s="2">
        <v>-0.0456947399741462</v>
      </c>
      <c r="F433" s="2">
        <v>0.0952044308707162</v>
      </c>
      <c r="G433" s="1">
        <v>1</v>
      </c>
    </row>
    <row r="434" spans="1:7">
      <c r="A434" s="1" t="s">
        <v>249</v>
      </c>
      <c r="B434" s="2">
        <v>0.0158351067058282</v>
      </c>
      <c r="C434" s="2">
        <v>0.0158351067058282</v>
      </c>
      <c r="D434" s="1" t="s">
        <v>399</v>
      </c>
      <c r="E434" s="2">
        <v>-0.0456947399741462</v>
      </c>
      <c r="F434" s="2">
        <v>0.0952044308707162</v>
      </c>
      <c r="G434" s="1">
        <v>1</v>
      </c>
    </row>
    <row r="435" spans="1:7">
      <c r="A435" s="1" t="s">
        <v>249</v>
      </c>
      <c r="B435" s="2">
        <v>0.128611743901391</v>
      </c>
      <c r="C435" s="2">
        <v>0.128611743901391</v>
      </c>
      <c r="D435" s="1" t="s">
        <v>400</v>
      </c>
      <c r="E435" s="2">
        <v>-0.0456947399741462</v>
      </c>
      <c r="F435" s="2">
        <v>0.0952044308707162</v>
      </c>
      <c r="G435" s="1">
        <v>1</v>
      </c>
    </row>
    <row r="436" spans="1:7">
      <c r="A436" s="1" t="s">
        <v>249</v>
      </c>
      <c r="B436" s="2">
        <v>0.00928761745394455</v>
      </c>
      <c r="C436" s="2">
        <v>0.00928761745394455</v>
      </c>
      <c r="D436" s="1" t="s">
        <v>399</v>
      </c>
      <c r="E436" s="2">
        <v>-0.0456947399741462</v>
      </c>
      <c r="F436" s="2">
        <v>0.0952044308707162</v>
      </c>
      <c r="G436" s="1">
        <v>1</v>
      </c>
    </row>
    <row r="437" spans="1:7">
      <c r="A437" s="1" t="s">
        <v>249</v>
      </c>
      <c r="B437" s="2">
        <v>0.0454980246706453</v>
      </c>
      <c r="C437" s="2">
        <v>0.0454980246706453</v>
      </c>
      <c r="D437" s="1" t="s">
        <v>399</v>
      </c>
      <c r="E437" s="2">
        <v>-0.0456947399741462</v>
      </c>
      <c r="F437" s="2">
        <v>0.0952044308707162</v>
      </c>
      <c r="G437" s="1">
        <v>1</v>
      </c>
    </row>
    <row r="438" spans="1:7">
      <c r="A438" s="1" t="s">
        <v>249</v>
      </c>
      <c r="B438" s="2">
        <v>0.0260135159231857</v>
      </c>
      <c r="C438" s="2">
        <v>0.0260135159231857</v>
      </c>
      <c r="D438" s="1" t="s">
        <v>399</v>
      </c>
      <c r="E438" s="2">
        <v>-0.0456947399741462</v>
      </c>
      <c r="F438" s="2">
        <v>0.0952044308707162</v>
      </c>
      <c r="G438" s="1">
        <v>1</v>
      </c>
    </row>
    <row r="439" spans="1:7">
      <c r="A439" s="1" t="s">
        <v>249</v>
      </c>
      <c r="B439" s="2">
        <v>0.114714440147467</v>
      </c>
      <c r="C439" s="2">
        <v>0.114714440147467</v>
      </c>
      <c r="D439" s="1" t="s">
        <v>400</v>
      </c>
      <c r="E439" s="2">
        <v>-0.0456947399741462</v>
      </c>
      <c r="F439" s="2">
        <v>0.0952044308707162</v>
      </c>
      <c r="G439" s="1">
        <v>1</v>
      </c>
    </row>
    <row r="440" spans="1:7">
      <c r="A440" s="1" t="s">
        <v>249</v>
      </c>
      <c r="B440" s="2">
        <v>0.00172639610586681</v>
      </c>
      <c r="C440" s="2">
        <v>0.00172639610586681</v>
      </c>
      <c r="D440" s="1" t="s">
        <v>399</v>
      </c>
      <c r="E440" s="2">
        <v>-0.0456947399741462</v>
      </c>
      <c r="F440" s="2">
        <v>0.0952044308707162</v>
      </c>
      <c r="G440" s="1">
        <v>1</v>
      </c>
    </row>
    <row r="441" spans="1:7">
      <c r="A441" s="1" t="s">
        <v>249</v>
      </c>
      <c r="B441" s="2">
        <v>0.00586924694450137</v>
      </c>
      <c r="C441" s="2">
        <v>0.00586924694450137</v>
      </c>
      <c r="D441" s="1" t="s">
        <v>399</v>
      </c>
      <c r="E441" s="2">
        <v>-0.0456947399741462</v>
      </c>
      <c r="F441" s="2">
        <v>0.0952044308707162</v>
      </c>
      <c r="G441" s="1">
        <v>1</v>
      </c>
    </row>
    <row r="442" spans="1:7">
      <c r="A442" s="1" t="s">
        <v>249</v>
      </c>
      <c r="B442" s="2">
        <v>0.0423672418038928</v>
      </c>
      <c r="C442" s="2">
        <v>0.0423672418038928</v>
      </c>
      <c r="D442" s="1" t="s">
        <v>399</v>
      </c>
      <c r="E442" s="2">
        <v>-0.0456947399741462</v>
      </c>
      <c r="F442" s="2">
        <v>0.0952044308707162</v>
      </c>
      <c r="G442" s="1">
        <v>1</v>
      </c>
    </row>
    <row r="443" spans="1:7">
      <c r="A443" s="1" t="s">
        <v>249</v>
      </c>
      <c r="B443" s="2">
        <v>0.00714244909267719</v>
      </c>
      <c r="C443" s="2">
        <v>0.00714244909267719</v>
      </c>
      <c r="D443" s="1" t="s">
        <v>399</v>
      </c>
      <c r="E443" s="2">
        <v>-0.0456947399741462</v>
      </c>
      <c r="F443" s="2">
        <v>0.0952044308707162</v>
      </c>
      <c r="G443" s="1">
        <v>1</v>
      </c>
    </row>
    <row r="444" spans="1:7">
      <c r="A444" s="1" t="s">
        <v>249</v>
      </c>
      <c r="B444" s="2">
        <v>0.00442489197659906</v>
      </c>
      <c r="C444" s="2">
        <v>0.00442489197659906</v>
      </c>
      <c r="D444" s="1" t="s">
        <v>399</v>
      </c>
      <c r="E444" s="2">
        <v>-0.0456947399741462</v>
      </c>
      <c r="F444" s="2">
        <v>0.0952044308707162</v>
      </c>
      <c r="G444" s="1">
        <v>1</v>
      </c>
    </row>
    <row r="445" spans="1:7">
      <c r="A445" s="1" t="s">
        <v>249</v>
      </c>
      <c r="B445" s="2">
        <v>0.0407859422476365</v>
      </c>
      <c r="C445" s="2">
        <v>0.0407859422476365</v>
      </c>
      <c r="D445" s="1" t="s">
        <v>399</v>
      </c>
      <c r="E445" s="2">
        <v>-0.0456947399741462</v>
      </c>
      <c r="F445" s="2">
        <v>0.0952044308707162</v>
      </c>
      <c r="G445" s="1">
        <v>1</v>
      </c>
    </row>
    <row r="446" spans="1:7">
      <c r="A446" s="1" t="s">
        <v>249</v>
      </c>
      <c r="B446" s="2">
        <v>0.0565975062042721</v>
      </c>
      <c r="C446" s="2">
        <v>0.0565975062042721</v>
      </c>
      <c r="D446" s="1" t="s">
        <v>399</v>
      </c>
      <c r="E446" s="2">
        <v>-0.0456947399741462</v>
      </c>
      <c r="F446" s="2">
        <v>0.0952044308707162</v>
      </c>
      <c r="G446" s="1">
        <v>1</v>
      </c>
    </row>
    <row r="447" spans="1:7">
      <c r="A447" s="1" t="s">
        <v>249</v>
      </c>
      <c r="B447" s="2">
        <v>0.034494547230012</v>
      </c>
      <c r="C447" s="2">
        <v>0.034494547230012</v>
      </c>
      <c r="D447" s="1" t="s">
        <v>399</v>
      </c>
      <c r="E447" s="2">
        <v>-0.0456947399741462</v>
      </c>
      <c r="F447" s="2">
        <v>0.0952044308707162</v>
      </c>
      <c r="G447" s="1">
        <v>1</v>
      </c>
    </row>
    <row r="448" spans="1:7">
      <c r="A448" s="1" t="s">
        <v>249</v>
      </c>
      <c r="B448" s="2">
        <v>0.0079876135306063</v>
      </c>
      <c r="C448" s="2">
        <v>0.0079876135306063</v>
      </c>
      <c r="D448" s="1" t="s">
        <v>399</v>
      </c>
      <c r="E448" s="2">
        <v>-0.0456947399741462</v>
      </c>
      <c r="F448" s="2">
        <v>0.0952044308707162</v>
      </c>
      <c r="G448" s="1">
        <v>1</v>
      </c>
    </row>
    <row r="449" spans="1:7">
      <c r="A449" s="1" t="s">
        <v>249</v>
      </c>
      <c r="B449" s="2">
        <v>0.047793293194758</v>
      </c>
      <c r="C449" s="2">
        <v>0.047793293194758</v>
      </c>
      <c r="D449" s="1" t="s">
        <v>399</v>
      </c>
      <c r="E449" s="2">
        <v>-0.0456947399741462</v>
      </c>
      <c r="F449" s="2">
        <v>0.0952044308707162</v>
      </c>
      <c r="G449" s="1">
        <v>1</v>
      </c>
    </row>
    <row r="450" spans="1:7">
      <c r="A450" s="1" t="s">
        <v>249</v>
      </c>
      <c r="B450" s="2">
        <v>0.0263042698746421</v>
      </c>
      <c r="C450" s="2">
        <v>0.0263042698746421</v>
      </c>
      <c r="D450" s="1" t="s">
        <v>399</v>
      </c>
      <c r="E450" s="2">
        <v>-0.0456947399741462</v>
      </c>
      <c r="F450" s="2">
        <v>0.0952044308707162</v>
      </c>
      <c r="G450" s="1">
        <v>1</v>
      </c>
    </row>
    <row r="451" spans="1:7">
      <c r="A451" s="1" t="s">
        <v>249</v>
      </c>
      <c r="B451" s="2">
        <v>0.0183105853857354</v>
      </c>
      <c r="C451" s="2">
        <v>0.0183105853857354</v>
      </c>
      <c r="D451" s="1" t="s">
        <v>399</v>
      </c>
      <c r="E451" s="2">
        <v>-0.0456947399741462</v>
      </c>
      <c r="F451" s="2">
        <v>0.0952044308707162</v>
      </c>
      <c r="G451" s="1">
        <v>1</v>
      </c>
    </row>
    <row r="452" spans="1:7">
      <c r="A452" s="1" t="s">
        <v>249</v>
      </c>
      <c r="B452" s="2">
        <v>0.202176500487193</v>
      </c>
      <c r="C452" s="2">
        <v>0.202176500487193</v>
      </c>
      <c r="D452" s="1" t="s">
        <v>400</v>
      </c>
      <c r="E452" s="2">
        <v>-0.0456947399741462</v>
      </c>
      <c r="F452" s="2">
        <v>0.0952044308707162</v>
      </c>
      <c r="G452" s="1">
        <v>1</v>
      </c>
    </row>
    <row r="453" spans="1:7">
      <c r="A453" s="1" t="s">
        <v>137</v>
      </c>
      <c r="B453" s="2">
        <v>0.00142857142857143</v>
      </c>
      <c r="C453" s="2">
        <v>0.00142857142857143</v>
      </c>
      <c r="D453" s="1" t="s">
        <v>399</v>
      </c>
      <c r="E453" s="2">
        <v>-0.0409532646373207</v>
      </c>
      <c r="F453" s="2">
        <v>0.0810554410622011</v>
      </c>
      <c r="G453" s="1">
        <v>1</v>
      </c>
    </row>
    <row r="454" spans="1:7">
      <c r="A454" s="1" t="s">
        <v>137</v>
      </c>
      <c r="B454" s="2">
        <v>0.0059616</v>
      </c>
      <c r="C454" s="2">
        <v>0.0059616</v>
      </c>
      <c r="D454" s="1" t="s">
        <v>399</v>
      </c>
      <c r="E454" s="2">
        <v>-0.0409532646373207</v>
      </c>
      <c r="F454" s="2">
        <v>0.0810554410622011</v>
      </c>
      <c r="G454" s="1">
        <v>1</v>
      </c>
    </row>
    <row r="455" spans="1:7">
      <c r="A455" s="1" t="s">
        <v>137</v>
      </c>
      <c r="B455" s="2">
        <v>0.02052</v>
      </c>
      <c r="C455" s="2">
        <v>0.02052</v>
      </c>
      <c r="D455" s="1" t="s">
        <v>399</v>
      </c>
      <c r="E455" s="2">
        <v>-0.0409532646373207</v>
      </c>
      <c r="F455" s="2">
        <v>0.0810554410622011</v>
      </c>
      <c r="G455" s="1">
        <v>1</v>
      </c>
    </row>
    <row r="456" spans="1:7">
      <c r="A456" s="1" t="s">
        <v>137</v>
      </c>
      <c r="B456" s="2">
        <v>0.0017424</v>
      </c>
      <c r="C456" s="2">
        <v>0.0017424</v>
      </c>
      <c r="D456" s="1" t="s">
        <v>399</v>
      </c>
      <c r="E456" s="2">
        <v>-0.0409532646373207</v>
      </c>
      <c r="F456" s="2">
        <v>0.0810554410622011</v>
      </c>
      <c r="G456" s="1">
        <v>1</v>
      </c>
    </row>
    <row r="457" spans="1:7">
      <c r="A457" s="1" t="s">
        <v>137</v>
      </c>
      <c r="B457" s="2">
        <v>0.001092</v>
      </c>
      <c r="C457" s="2">
        <v>0.001092</v>
      </c>
      <c r="D457" s="1" t="s">
        <v>399</v>
      </c>
      <c r="E457" s="2">
        <v>-0.0409532646373207</v>
      </c>
      <c r="F457" s="2">
        <v>0.0810554410622011</v>
      </c>
      <c r="G457" s="1">
        <v>1</v>
      </c>
    </row>
    <row r="458" spans="1:7">
      <c r="A458" s="1" t="s">
        <v>137</v>
      </c>
      <c r="B458" s="2">
        <v>0.00268238095238095</v>
      </c>
      <c r="C458" s="2">
        <v>0.00268238095238095</v>
      </c>
      <c r="D458" s="1" t="s">
        <v>399</v>
      </c>
      <c r="E458" s="2">
        <v>-0.0409532646373207</v>
      </c>
      <c r="F458" s="2">
        <v>0.0810554410622011</v>
      </c>
      <c r="G458" s="1">
        <v>1</v>
      </c>
    </row>
    <row r="459" spans="1:7">
      <c r="A459" s="1" t="s">
        <v>137</v>
      </c>
      <c r="B459" s="2">
        <v>0.00111095238095238</v>
      </c>
      <c r="C459" s="2">
        <v>0.00111095238095238</v>
      </c>
      <c r="D459" s="1" t="s">
        <v>399</v>
      </c>
      <c r="E459" s="2">
        <v>-0.0409532646373207</v>
      </c>
      <c r="F459" s="2">
        <v>0.0810554410622011</v>
      </c>
      <c r="G459" s="1">
        <v>1</v>
      </c>
    </row>
    <row r="460" spans="1:7">
      <c r="A460" s="1" t="s">
        <v>137</v>
      </c>
      <c r="B460" s="2">
        <v>0.00401190476190476</v>
      </c>
      <c r="C460" s="2">
        <v>0.00401190476190476</v>
      </c>
      <c r="D460" s="1" t="s">
        <v>399</v>
      </c>
      <c r="E460" s="2">
        <v>-0.0409532646373207</v>
      </c>
      <c r="F460" s="2">
        <v>0.0810554410622011</v>
      </c>
      <c r="G460" s="1">
        <v>1</v>
      </c>
    </row>
    <row r="461" spans="1:7">
      <c r="A461" s="1" t="s">
        <v>137</v>
      </c>
      <c r="B461" s="2">
        <v>0.00191904761904762</v>
      </c>
      <c r="C461" s="2">
        <v>0.00191904761904762</v>
      </c>
      <c r="D461" s="1" t="s">
        <v>399</v>
      </c>
      <c r="E461" s="2">
        <v>-0.0409532646373207</v>
      </c>
      <c r="F461" s="2">
        <v>0.0810554410622011</v>
      </c>
      <c r="G461" s="1">
        <v>1</v>
      </c>
    </row>
    <row r="462" spans="1:7">
      <c r="A462" s="1" t="s">
        <v>137</v>
      </c>
      <c r="B462" s="2">
        <v>0.00105933333333333</v>
      </c>
      <c r="C462" s="2">
        <v>0.00105933333333333</v>
      </c>
      <c r="D462" s="1" t="s">
        <v>399</v>
      </c>
      <c r="E462" s="2">
        <v>-0.0409532646373207</v>
      </c>
      <c r="F462" s="2">
        <v>0.0810554410622011</v>
      </c>
      <c r="G462" s="1">
        <v>1</v>
      </c>
    </row>
    <row r="463" spans="1:7">
      <c r="A463" s="1" t="s">
        <v>137</v>
      </c>
      <c r="B463" s="2">
        <v>0.000268666666666667</v>
      </c>
      <c r="C463" s="2">
        <v>0.000268666666666667</v>
      </c>
      <c r="D463" s="1" t="s">
        <v>399</v>
      </c>
      <c r="E463" s="2">
        <v>-0.0409532646373207</v>
      </c>
      <c r="F463" s="2">
        <v>0.0810554410622011</v>
      </c>
      <c r="G463" s="1">
        <v>1</v>
      </c>
    </row>
    <row r="464" spans="1:7">
      <c r="A464" s="1" t="s">
        <v>137</v>
      </c>
      <c r="B464" s="2">
        <v>0.000561333333333333</v>
      </c>
      <c r="C464" s="2">
        <v>0.000561333333333333</v>
      </c>
      <c r="D464" s="1" t="s">
        <v>399</v>
      </c>
      <c r="E464" s="2">
        <v>-0.0409532646373207</v>
      </c>
      <c r="F464" s="2">
        <v>0.0810554410622011</v>
      </c>
      <c r="G464" s="1">
        <v>1</v>
      </c>
    </row>
    <row r="465" spans="1:7">
      <c r="A465" s="1" t="s">
        <v>137</v>
      </c>
      <c r="B465" s="2">
        <v>0.00111866666666667</v>
      </c>
      <c r="C465" s="2">
        <v>0.00111866666666667</v>
      </c>
      <c r="D465" s="1" t="s">
        <v>399</v>
      </c>
      <c r="E465" s="2">
        <v>-0.0409532646373207</v>
      </c>
      <c r="F465" s="2">
        <v>0.0810554410622011</v>
      </c>
      <c r="G465" s="1">
        <v>1</v>
      </c>
    </row>
    <row r="466" spans="1:7">
      <c r="A466" s="1" t="s">
        <v>137</v>
      </c>
      <c r="B466" s="2">
        <v>0.0279272727272727</v>
      </c>
      <c r="C466" s="2">
        <v>0.0279272727272727</v>
      </c>
      <c r="D466" s="1" t="s">
        <v>399</v>
      </c>
      <c r="E466" s="2">
        <v>-0.0409532646373207</v>
      </c>
      <c r="F466" s="2">
        <v>0.0810554410622011</v>
      </c>
      <c r="G466" s="1">
        <v>1</v>
      </c>
    </row>
    <row r="467" spans="1:7">
      <c r="A467" s="1" t="s">
        <v>137</v>
      </c>
      <c r="B467" s="2">
        <v>0.0125890909090909</v>
      </c>
      <c r="C467" s="2">
        <v>0.0125890909090909</v>
      </c>
      <c r="D467" s="1" t="s">
        <v>399</v>
      </c>
      <c r="E467" s="2">
        <v>-0.0409532646373207</v>
      </c>
      <c r="F467" s="2">
        <v>0.0810554410622011</v>
      </c>
      <c r="G467" s="1">
        <v>1</v>
      </c>
    </row>
    <row r="468" spans="1:7">
      <c r="A468" s="1" t="s">
        <v>137</v>
      </c>
      <c r="B468" s="2">
        <v>0.0226909090909091</v>
      </c>
      <c r="C468" s="2">
        <v>0.0226909090909091</v>
      </c>
      <c r="D468" s="1" t="s">
        <v>399</v>
      </c>
      <c r="E468" s="2">
        <v>-0.0409532646373207</v>
      </c>
      <c r="F468" s="2">
        <v>0.0810554410622011</v>
      </c>
      <c r="G468" s="1">
        <v>1</v>
      </c>
    </row>
    <row r="469" spans="1:7">
      <c r="A469" s="1" t="s">
        <v>137</v>
      </c>
      <c r="B469" s="2">
        <v>0.0349090909090909</v>
      </c>
      <c r="C469" s="2">
        <v>0.0349090909090909</v>
      </c>
      <c r="D469" s="1" t="s">
        <v>399</v>
      </c>
      <c r="E469" s="2">
        <v>-0.0409532646373207</v>
      </c>
      <c r="F469" s="2">
        <v>0.0810554410622011</v>
      </c>
      <c r="G469" s="1">
        <v>1</v>
      </c>
    </row>
    <row r="470" spans="1:7">
      <c r="A470" s="1" t="s">
        <v>137</v>
      </c>
      <c r="B470" s="2">
        <v>0.0168872727272727</v>
      </c>
      <c r="C470" s="2">
        <v>0.0168872727272727</v>
      </c>
      <c r="D470" s="1" t="s">
        <v>399</v>
      </c>
      <c r="E470" s="2">
        <v>-0.0409532646373207</v>
      </c>
      <c r="F470" s="2">
        <v>0.0810554410622011</v>
      </c>
      <c r="G470" s="1">
        <v>1</v>
      </c>
    </row>
    <row r="471" spans="1:7">
      <c r="A471" s="1" t="s">
        <v>137</v>
      </c>
      <c r="B471" s="2">
        <v>0.0147419835839407</v>
      </c>
      <c r="C471" s="2">
        <v>0.0147419835839407</v>
      </c>
      <c r="D471" s="1" t="s">
        <v>399</v>
      </c>
      <c r="E471" s="2">
        <v>-0.0409532646373207</v>
      </c>
      <c r="F471" s="2">
        <v>0.0810554410622011</v>
      </c>
      <c r="G471" s="1">
        <v>1</v>
      </c>
    </row>
    <row r="472" spans="1:7">
      <c r="A472" s="1" t="s">
        <v>137</v>
      </c>
      <c r="B472" s="2">
        <v>0.00131731551321587</v>
      </c>
      <c r="C472" s="2">
        <v>0.00131731551321587</v>
      </c>
      <c r="D472" s="1" t="s">
        <v>399</v>
      </c>
      <c r="E472" s="2">
        <v>-0.0409532646373207</v>
      </c>
      <c r="F472" s="2">
        <v>0.0810554410622011</v>
      </c>
      <c r="G472" s="1">
        <v>1</v>
      </c>
    </row>
    <row r="473" spans="1:7">
      <c r="A473" s="1" t="s">
        <v>137</v>
      </c>
      <c r="B473" s="2">
        <v>0.0264748201438849</v>
      </c>
      <c r="C473" s="2">
        <v>0.0264748201438849</v>
      </c>
      <c r="D473" s="1" t="s">
        <v>399</v>
      </c>
      <c r="E473" s="2">
        <v>-0.0409532646373207</v>
      </c>
      <c r="F473" s="2">
        <v>0.0810554410622011</v>
      </c>
      <c r="G473" s="1">
        <v>1</v>
      </c>
    </row>
    <row r="474" spans="1:7">
      <c r="A474" s="1" t="s">
        <v>137</v>
      </c>
      <c r="B474" s="2">
        <v>0.0218705035971223</v>
      </c>
      <c r="C474" s="2">
        <v>0.0218705035971223</v>
      </c>
      <c r="D474" s="1" t="s">
        <v>399</v>
      </c>
      <c r="E474" s="2">
        <v>-0.0409532646373207</v>
      </c>
      <c r="F474" s="2">
        <v>0.0810554410622011</v>
      </c>
      <c r="G474" s="1">
        <v>1</v>
      </c>
    </row>
    <row r="475" spans="1:7">
      <c r="A475" s="1" t="s">
        <v>137</v>
      </c>
      <c r="B475" s="2">
        <v>0.0161151079136691</v>
      </c>
      <c r="C475" s="2">
        <v>0.0161151079136691</v>
      </c>
      <c r="D475" s="1" t="s">
        <v>399</v>
      </c>
      <c r="E475" s="2">
        <v>-0.0409532646373207</v>
      </c>
      <c r="F475" s="2">
        <v>0.0810554410622011</v>
      </c>
      <c r="G475" s="1">
        <v>1</v>
      </c>
    </row>
    <row r="476" spans="1:7">
      <c r="A476" s="1" t="s">
        <v>137</v>
      </c>
      <c r="B476" s="2">
        <v>0.0207194244604317</v>
      </c>
      <c r="C476" s="2">
        <v>0.0207194244604317</v>
      </c>
      <c r="D476" s="1" t="s">
        <v>399</v>
      </c>
      <c r="E476" s="2">
        <v>-0.0409532646373207</v>
      </c>
      <c r="F476" s="2">
        <v>0.0810554410622011</v>
      </c>
      <c r="G476" s="1">
        <v>1</v>
      </c>
    </row>
    <row r="477" spans="1:7">
      <c r="A477" s="1" t="s">
        <v>137</v>
      </c>
      <c r="B477" s="2">
        <v>0.0247482014388489</v>
      </c>
      <c r="C477" s="2">
        <v>0.0247482014388489</v>
      </c>
      <c r="D477" s="1" t="s">
        <v>399</v>
      </c>
      <c r="E477" s="2">
        <v>-0.0409532646373207</v>
      </c>
      <c r="F477" s="2">
        <v>0.0810554410622011</v>
      </c>
      <c r="G477" s="1">
        <v>1</v>
      </c>
    </row>
    <row r="478" spans="1:7">
      <c r="A478" s="1" t="s">
        <v>137</v>
      </c>
      <c r="B478" s="2">
        <v>0.0264748201438849</v>
      </c>
      <c r="C478" s="2">
        <v>0.0264748201438849</v>
      </c>
      <c r="D478" s="1" t="s">
        <v>399</v>
      </c>
      <c r="E478" s="2">
        <v>-0.0409532646373207</v>
      </c>
      <c r="F478" s="2">
        <v>0.0810554410622011</v>
      </c>
      <c r="G478" s="1">
        <v>1</v>
      </c>
    </row>
    <row r="479" spans="1:7">
      <c r="A479" s="1" t="s">
        <v>137</v>
      </c>
      <c r="B479" s="2">
        <v>0.0282014388489209</v>
      </c>
      <c r="C479" s="2">
        <v>0.0282014388489209</v>
      </c>
      <c r="D479" s="1" t="s">
        <v>399</v>
      </c>
      <c r="E479" s="2">
        <v>-0.0409532646373207</v>
      </c>
      <c r="F479" s="2">
        <v>0.0810554410622011</v>
      </c>
      <c r="G479" s="1">
        <v>1</v>
      </c>
    </row>
    <row r="480" spans="1:7">
      <c r="A480" s="1" t="s">
        <v>137</v>
      </c>
      <c r="B480" s="2">
        <v>9.08096025333551e-5</v>
      </c>
      <c r="C480" s="2">
        <v>9.08096025333551e-5</v>
      </c>
      <c r="D480" s="1" t="s">
        <v>399</v>
      </c>
      <c r="E480" s="2">
        <v>-0.0409532646373207</v>
      </c>
      <c r="F480" s="2">
        <v>0.0810554410622011</v>
      </c>
      <c r="G480" s="1">
        <v>1</v>
      </c>
    </row>
    <row r="481" spans="1:7">
      <c r="A481" s="1" t="s">
        <v>137</v>
      </c>
      <c r="B481" s="2">
        <v>0.0001</v>
      </c>
      <c r="C481" s="2">
        <v>0.0001</v>
      </c>
      <c r="D481" s="1" t="s">
        <v>399</v>
      </c>
      <c r="E481" s="2">
        <v>-0.0409532646373207</v>
      </c>
      <c r="F481" s="2">
        <v>0.0810554410622011</v>
      </c>
      <c r="G481" s="1">
        <v>1</v>
      </c>
    </row>
    <row r="482" spans="1:7">
      <c r="A482" s="1" t="s">
        <v>137</v>
      </c>
      <c r="B482" s="2">
        <v>0.000128</v>
      </c>
      <c r="C482" s="2">
        <v>0.000128</v>
      </c>
      <c r="D482" s="1" t="s">
        <v>399</v>
      </c>
      <c r="E482" s="2">
        <v>-0.0409532646373207</v>
      </c>
      <c r="F482" s="2">
        <v>0.0810554410622011</v>
      </c>
      <c r="G482" s="1">
        <v>1</v>
      </c>
    </row>
    <row r="483" spans="1:7">
      <c r="A483" s="1" t="s">
        <v>137</v>
      </c>
      <c r="B483" s="2">
        <v>0.0647482014388489</v>
      </c>
      <c r="C483" s="2">
        <v>0.0647482014388489</v>
      </c>
      <c r="D483" s="1" t="s">
        <v>399</v>
      </c>
      <c r="E483" s="2">
        <v>-0.0409532646373207</v>
      </c>
      <c r="F483" s="2">
        <v>0.0810554410622011</v>
      </c>
      <c r="G483" s="1">
        <v>1</v>
      </c>
    </row>
    <row r="484" spans="1:7">
      <c r="A484" s="1" t="s">
        <v>137</v>
      </c>
      <c r="B484" s="2">
        <v>0.0647482014388489</v>
      </c>
      <c r="C484" s="2">
        <v>0.0647482014388489</v>
      </c>
      <c r="D484" s="1" t="s">
        <v>399</v>
      </c>
      <c r="E484" s="2">
        <v>-0.0409532646373207</v>
      </c>
      <c r="F484" s="2">
        <v>0.0810554410622011</v>
      </c>
      <c r="G484" s="1">
        <v>1</v>
      </c>
    </row>
    <row r="485" spans="1:7">
      <c r="A485" s="1" t="s">
        <v>137</v>
      </c>
      <c r="B485" s="2">
        <v>0.001728</v>
      </c>
      <c r="C485" s="2">
        <v>0.001728</v>
      </c>
      <c r="D485" s="1" t="s">
        <v>399</v>
      </c>
      <c r="E485" s="2">
        <v>-0.0409532646373207</v>
      </c>
      <c r="F485" s="2">
        <v>0.0810554410622011</v>
      </c>
      <c r="G485" s="1">
        <v>1</v>
      </c>
    </row>
    <row r="486" spans="1:7">
      <c r="A486" s="1" t="s">
        <v>137</v>
      </c>
      <c r="B486" s="2">
        <v>0.00147709589041096</v>
      </c>
      <c r="C486" s="2">
        <v>0.00147709589041096</v>
      </c>
      <c r="D486" s="1" t="s">
        <v>399</v>
      </c>
      <c r="E486" s="2">
        <v>-0.0409532646373207</v>
      </c>
      <c r="F486" s="2">
        <v>0.0810554410622011</v>
      </c>
      <c r="G486" s="1">
        <v>1</v>
      </c>
    </row>
    <row r="487" spans="1:7">
      <c r="A487" s="1" t="s">
        <v>137</v>
      </c>
      <c r="B487" s="2">
        <v>0.001944</v>
      </c>
      <c r="C487" s="2">
        <v>0.001944</v>
      </c>
      <c r="D487" s="1" t="s">
        <v>399</v>
      </c>
      <c r="E487" s="2">
        <v>-0.0409532646373207</v>
      </c>
      <c r="F487" s="2">
        <v>0.0810554410622011</v>
      </c>
      <c r="G487" s="1">
        <v>1</v>
      </c>
    </row>
    <row r="488" spans="1:7">
      <c r="A488" s="1" t="s">
        <v>137</v>
      </c>
      <c r="B488" s="2">
        <v>0.003024</v>
      </c>
      <c r="C488" s="2">
        <v>0.003024</v>
      </c>
      <c r="D488" s="1" t="s">
        <v>399</v>
      </c>
      <c r="E488" s="2">
        <v>-0.0409532646373207</v>
      </c>
      <c r="F488" s="2">
        <v>0.0810554410622011</v>
      </c>
      <c r="G488" s="1">
        <v>1</v>
      </c>
    </row>
    <row r="489" spans="1:7">
      <c r="A489" s="1" t="s">
        <v>137</v>
      </c>
      <c r="B489" s="2">
        <v>0.00373506976744186</v>
      </c>
      <c r="C489" s="2">
        <v>0.00373506976744186</v>
      </c>
      <c r="D489" s="1" t="s">
        <v>399</v>
      </c>
      <c r="E489" s="2">
        <v>-0.0409532646373207</v>
      </c>
      <c r="F489" s="2">
        <v>0.0810554410622011</v>
      </c>
      <c r="G489" s="1">
        <v>1</v>
      </c>
    </row>
    <row r="490" spans="1:7">
      <c r="A490" s="1" t="s">
        <v>137</v>
      </c>
      <c r="B490" s="2">
        <v>0.00167801758593125</v>
      </c>
      <c r="C490" s="2">
        <v>0.00167801758593125</v>
      </c>
      <c r="D490" s="1" t="s">
        <v>399</v>
      </c>
      <c r="E490" s="2">
        <v>-0.0409532646373207</v>
      </c>
      <c r="F490" s="2">
        <v>0.0810554410622011</v>
      </c>
      <c r="G490" s="1">
        <v>1</v>
      </c>
    </row>
    <row r="491" spans="1:7">
      <c r="A491" s="1" t="s">
        <v>137</v>
      </c>
      <c r="B491" s="2">
        <v>0.00130967226219025</v>
      </c>
      <c r="C491" s="2">
        <v>0.00130967226219025</v>
      </c>
      <c r="D491" s="1" t="s">
        <v>399</v>
      </c>
      <c r="E491" s="2">
        <v>-0.0409532646373207</v>
      </c>
      <c r="F491" s="2">
        <v>0.0810554410622011</v>
      </c>
      <c r="G491" s="1">
        <v>1</v>
      </c>
    </row>
    <row r="492" spans="1:7">
      <c r="A492" s="1" t="s">
        <v>137</v>
      </c>
      <c r="B492" s="2">
        <v>0.00136765254463096</v>
      </c>
      <c r="C492" s="2">
        <v>0.00136765254463096</v>
      </c>
      <c r="D492" s="1" t="s">
        <v>399</v>
      </c>
      <c r="E492" s="2">
        <v>-0.0409532646373207</v>
      </c>
      <c r="F492" s="2">
        <v>0.0810554410622011</v>
      </c>
      <c r="G492" s="1">
        <v>1</v>
      </c>
    </row>
    <row r="493" spans="1:7">
      <c r="A493" s="1" t="s">
        <v>137</v>
      </c>
      <c r="B493" s="2">
        <v>0.00155523581135092</v>
      </c>
      <c r="C493" s="2">
        <v>0.00155523581135092</v>
      </c>
      <c r="D493" s="1" t="s">
        <v>399</v>
      </c>
      <c r="E493" s="2">
        <v>-0.0409532646373207</v>
      </c>
      <c r="F493" s="2">
        <v>0.0810554410622011</v>
      </c>
      <c r="G493" s="1">
        <v>1</v>
      </c>
    </row>
    <row r="494" spans="1:7">
      <c r="A494" s="1" t="s">
        <v>137</v>
      </c>
      <c r="B494" s="2">
        <v>0.00163709032773781</v>
      </c>
      <c r="C494" s="2">
        <v>0.00163709032773781</v>
      </c>
      <c r="D494" s="1" t="s">
        <v>399</v>
      </c>
      <c r="E494" s="2">
        <v>-0.0409532646373207</v>
      </c>
      <c r="F494" s="2">
        <v>0.0810554410622011</v>
      </c>
      <c r="G494" s="1">
        <v>1</v>
      </c>
    </row>
    <row r="495" spans="1:7">
      <c r="A495" s="1" t="s">
        <v>137</v>
      </c>
      <c r="B495" s="2">
        <v>0.0018587796429523</v>
      </c>
      <c r="C495" s="2">
        <v>0.0018587796429523</v>
      </c>
      <c r="D495" s="1" t="s">
        <v>399</v>
      </c>
      <c r="E495" s="2">
        <v>-0.0409532646373207</v>
      </c>
      <c r="F495" s="2">
        <v>0.0810554410622011</v>
      </c>
      <c r="G495" s="1">
        <v>1</v>
      </c>
    </row>
    <row r="496" spans="1:7">
      <c r="A496" s="1" t="s">
        <v>137</v>
      </c>
      <c r="B496" s="2">
        <v>0.00199861444177991</v>
      </c>
      <c r="C496" s="2">
        <v>0.00199861444177991</v>
      </c>
      <c r="D496" s="1" t="s">
        <v>399</v>
      </c>
      <c r="E496" s="2">
        <v>-0.0409532646373207</v>
      </c>
      <c r="F496" s="2">
        <v>0.0810554410622011</v>
      </c>
      <c r="G496" s="1">
        <v>1</v>
      </c>
    </row>
    <row r="497" spans="1:7">
      <c r="A497" s="1" t="s">
        <v>137</v>
      </c>
      <c r="B497" s="2">
        <v>0.00224076738609113</v>
      </c>
      <c r="C497" s="2">
        <v>0.00224076738609113</v>
      </c>
      <c r="D497" s="1" t="s">
        <v>399</v>
      </c>
      <c r="E497" s="2">
        <v>-0.0409532646373207</v>
      </c>
      <c r="F497" s="2">
        <v>0.0810554410622011</v>
      </c>
      <c r="G497" s="1">
        <v>1</v>
      </c>
    </row>
    <row r="498" spans="1:7">
      <c r="A498" s="1" t="s">
        <v>137</v>
      </c>
      <c r="B498" s="2">
        <v>0.00251702637889688</v>
      </c>
      <c r="C498" s="2">
        <v>0.00251702637889688</v>
      </c>
      <c r="D498" s="1" t="s">
        <v>399</v>
      </c>
      <c r="E498" s="2">
        <v>-0.0409532646373207</v>
      </c>
      <c r="F498" s="2">
        <v>0.0810554410622011</v>
      </c>
      <c r="G498" s="1">
        <v>1</v>
      </c>
    </row>
    <row r="499" spans="1:7">
      <c r="A499" s="1" t="s">
        <v>137</v>
      </c>
      <c r="B499" s="2">
        <v>0.00255795363709033</v>
      </c>
      <c r="C499" s="2">
        <v>0.00255795363709033</v>
      </c>
      <c r="D499" s="1" t="s">
        <v>399</v>
      </c>
      <c r="E499" s="2">
        <v>-0.0409532646373207</v>
      </c>
      <c r="F499" s="2">
        <v>0.0810554410622011</v>
      </c>
      <c r="G499" s="1">
        <v>1</v>
      </c>
    </row>
    <row r="500" spans="1:7">
      <c r="A500" s="1" t="s">
        <v>137</v>
      </c>
      <c r="B500" s="2">
        <v>0.00211798561151079</v>
      </c>
      <c r="C500" s="2">
        <v>0.00211798561151079</v>
      </c>
      <c r="D500" s="1" t="s">
        <v>399</v>
      </c>
      <c r="E500" s="2">
        <v>-0.0409532646373207</v>
      </c>
      <c r="F500" s="2">
        <v>0.0810554410622011</v>
      </c>
      <c r="G500" s="1">
        <v>1</v>
      </c>
    </row>
    <row r="501" spans="1:7">
      <c r="A501" s="1" t="s">
        <v>137</v>
      </c>
      <c r="B501" s="2">
        <v>0.00160298427924327</v>
      </c>
      <c r="C501" s="2">
        <v>0.00160298427924327</v>
      </c>
      <c r="D501" s="1" t="s">
        <v>399</v>
      </c>
      <c r="E501" s="2">
        <v>-0.0409532646373207</v>
      </c>
      <c r="F501" s="2">
        <v>0.0810554410622011</v>
      </c>
      <c r="G501" s="1">
        <v>1</v>
      </c>
    </row>
    <row r="502" spans="1:7">
      <c r="A502" s="1" t="s">
        <v>137</v>
      </c>
      <c r="B502" s="2">
        <v>0.00123804956035172</v>
      </c>
      <c r="C502" s="2">
        <v>0.00123804956035172</v>
      </c>
      <c r="D502" s="1" t="s">
        <v>399</v>
      </c>
      <c r="E502" s="2">
        <v>-0.0409532646373207</v>
      </c>
      <c r="F502" s="2">
        <v>0.0810554410622011</v>
      </c>
      <c r="G502" s="1">
        <v>1</v>
      </c>
    </row>
    <row r="503" spans="1:7">
      <c r="A503" s="1" t="s">
        <v>137</v>
      </c>
      <c r="B503" s="2">
        <v>0.00109821476152411</v>
      </c>
      <c r="C503" s="2">
        <v>0.00109821476152411</v>
      </c>
      <c r="D503" s="1" t="s">
        <v>399</v>
      </c>
      <c r="E503" s="2">
        <v>-0.0409532646373207</v>
      </c>
      <c r="F503" s="2">
        <v>0.0810554410622011</v>
      </c>
      <c r="G503" s="1">
        <v>1</v>
      </c>
    </row>
    <row r="504" spans="1:7">
      <c r="A504" s="1" t="s">
        <v>137</v>
      </c>
      <c r="B504" s="2">
        <v>0.00158934185984546</v>
      </c>
      <c r="C504" s="2">
        <v>0.00158934185984546</v>
      </c>
      <c r="D504" s="1" t="s">
        <v>399</v>
      </c>
      <c r="E504" s="2">
        <v>-0.0409532646373207</v>
      </c>
      <c r="F504" s="2">
        <v>0.0810554410622011</v>
      </c>
      <c r="G504" s="1">
        <v>1</v>
      </c>
    </row>
    <row r="505" spans="1:7">
      <c r="A505" s="1" t="s">
        <v>137</v>
      </c>
      <c r="B505" s="2">
        <v>0.00146997069011458</v>
      </c>
      <c r="C505" s="2">
        <v>0.00146997069011458</v>
      </c>
      <c r="D505" s="1" t="s">
        <v>399</v>
      </c>
      <c r="E505" s="2">
        <v>-0.0409532646373207</v>
      </c>
      <c r="F505" s="2">
        <v>0.0810554410622011</v>
      </c>
      <c r="G505" s="1">
        <v>1</v>
      </c>
    </row>
    <row r="506" spans="1:7">
      <c r="A506" s="1" t="s">
        <v>137</v>
      </c>
      <c r="B506" s="2">
        <v>0.0067785803237858</v>
      </c>
      <c r="C506" s="2">
        <v>0.0067785803237858</v>
      </c>
      <c r="D506" s="1" t="s">
        <v>399</v>
      </c>
      <c r="E506" s="2">
        <v>-0.0409532646373207</v>
      </c>
      <c r="F506" s="2">
        <v>0.0810554410622011</v>
      </c>
      <c r="G506" s="1">
        <v>1</v>
      </c>
    </row>
    <row r="507" spans="1:7">
      <c r="A507" s="1" t="s">
        <v>137</v>
      </c>
      <c r="B507" s="2">
        <v>0.0337343381642512</v>
      </c>
      <c r="C507" s="2">
        <v>0.0337343381642512</v>
      </c>
      <c r="D507" s="1" t="s">
        <v>399</v>
      </c>
      <c r="E507" s="2">
        <v>-0.0409532646373207</v>
      </c>
      <c r="F507" s="2">
        <v>0.0810554410622011</v>
      </c>
      <c r="G507" s="1">
        <v>1</v>
      </c>
    </row>
    <row r="508" spans="1:7">
      <c r="A508" s="1" t="s">
        <v>137</v>
      </c>
      <c r="B508" s="2">
        <v>0.00378148603548217</v>
      </c>
      <c r="C508" s="2">
        <v>0.00378148603548217</v>
      </c>
      <c r="D508" s="1" t="s">
        <v>399</v>
      </c>
      <c r="E508" s="2">
        <v>-0.0409532646373207</v>
      </c>
      <c r="F508" s="2">
        <v>0.0810554410622011</v>
      </c>
      <c r="G508" s="1">
        <v>1</v>
      </c>
    </row>
    <row r="509" spans="1:7">
      <c r="A509" s="1" t="s">
        <v>137</v>
      </c>
      <c r="B509" s="2">
        <v>0.133033039657802</v>
      </c>
      <c r="C509" s="2">
        <v>0.133033039657802</v>
      </c>
      <c r="D509" s="1" t="s">
        <v>400</v>
      </c>
      <c r="E509" s="2">
        <v>-0.0409532646373207</v>
      </c>
      <c r="F509" s="2">
        <v>0.0810554410622011</v>
      </c>
      <c r="G509" s="1">
        <v>1</v>
      </c>
    </row>
    <row r="510" spans="1:7">
      <c r="A510" s="1" t="s">
        <v>137</v>
      </c>
      <c r="B510" s="2">
        <v>0.102888952388312</v>
      </c>
      <c r="C510" s="2">
        <v>0.102888952388312</v>
      </c>
      <c r="D510" s="1" t="s">
        <v>400</v>
      </c>
      <c r="E510" s="2">
        <v>-0.0409532646373207</v>
      </c>
      <c r="F510" s="2">
        <v>0.0810554410622011</v>
      </c>
      <c r="G510" s="1">
        <v>1</v>
      </c>
    </row>
    <row r="511" spans="1:7">
      <c r="A511" s="1" t="s">
        <v>137</v>
      </c>
      <c r="B511" s="2">
        <v>0.134337899260052</v>
      </c>
      <c r="C511" s="2">
        <v>0.134337899260052</v>
      </c>
      <c r="D511" s="1" t="s">
        <v>400</v>
      </c>
      <c r="E511" s="2">
        <v>-0.0409532646373207</v>
      </c>
      <c r="F511" s="2">
        <v>0.0810554410622011</v>
      </c>
      <c r="G511" s="1">
        <v>1</v>
      </c>
    </row>
    <row r="512" spans="1:7">
      <c r="A512" s="1" t="s">
        <v>137</v>
      </c>
      <c r="B512" s="2">
        <v>0.186479677433334</v>
      </c>
      <c r="C512" s="2">
        <v>0.186479677433334</v>
      </c>
      <c r="D512" s="1" t="s">
        <v>400</v>
      </c>
      <c r="E512" s="2">
        <v>-0.0409532646373207</v>
      </c>
      <c r="F512" s="2">
        <v>0.0810554410622011</v>
      </c>
      <c r="G512" s="1">
        <v>1</v>
      </c>
    </row>
    <row r="513" spans="1:7">
      <c r="A513" s="1" t="s">
        <v>137</v>
      </c>
      <c r="B513" s="2">
        <v>0.114048672034946</v>
      </c>
      <c r="C513" s="2">
        <v>0.114048672034946</v>
      </c>
      <c r="D513" s="1" t="s">
        <v>400</v>
      </c>
      <c r="E513" s="2">
        <v>-0.0409532646373207</v>
      </c>
      <c r="F513" s="2">
        <v>0.0810554410622011</v>
      </c>
      <c r="G513" s="1">
        <v>1</v>
      </c>
    </row>
    <row r="514" spans="1:7">
      <c r="A514" s="1" t="s">
        <v>137</v>
      </c>
      <c r="B514" s="2">
        <v>0.210001019220961</v>
      </c>
      <c r="C514" s="2">
        <v>0.210001019220961</v>
      </c>
      <c r="D514" s="1" t="s">
        <v>400</v>
      </c>
      <c r="E514" s="2">
        <v>-0.0409532646373207</v>
      </c>
      <c r="F514" s="2">
        <v>0.0810554410622011</v>
      </c>
      <c r="G514" s="1">
        <v>1</v>
      </c>
    </row>
    <row r="515" spans="1:7">
      <c r="A515" s="1" t="s">
        <v>137</v>
      </c>
      <c r="B515" s="2">
        <v>0.00256514213308135</v>
      </c>
      <c r="C515" s="2">
        <v>0.00256514213308135</v>
      </c>
      <c r="D515" s="1" t="s">
        <v>399</v>
      </c>
      <c r="E515" s="2">
        <v>-0.0409532646373207</v>
      </c>
      <c r="F515" s="2">
        <v>0.0810554410622011</v>
      </c>
      <c r="G515" s="1">
        <v>1</v>
      </c>
    </row>
    <row r="516" spans="1:7">
      <c r="A516" s="1" t="s">
        <v>137</v>
      </c>
      <c r="B516" s="2">
        <v>0.00180341012652525</v>
      </c>
      <c r="C516" s="2">
        <v>0.00180341012652525</v>
      </c>
      <c r="D516" s="1" t="s">
        <v>399</v>
      </c>
      <c r="E516" s="2">
        <v>-0.0409532646373207</v>
      </c>
      <c r="F516" s="2">
        <v>0.0810554410622011</v>
      </c>
      <c r="G516" s="1">
        <v>1</v>
      </c>
    </row>
    <row r="517" spans="1:7">
      <c r="A517" s="1" t="s">
        <v>137</v>
      </c>
      <c r="B517" s="2">
        <v>0.0306907001816571</v>
      </c>
      <c r="C517" s="2">
        <v>0.0306907001816571</v>
      </c>
      <c r="D517" s="1" t="s">
        <v>399</v>
      </c>
      <c r="E517" s="2">
        <v>-0.0409532646373207</v>
      </c>
      <c r="F517" s="2">
        <v>0.0810554410622011</v>
      </c>
      <c r="G517" s="1">
        <v>1</v>
      </c>
    </row>
    <row r="518" spans="1:7">
      <c r="A518" s="1" t="s">
        <v>137</v>
      </c>
      <c r="B518" s="2">
        <v>0.195078527468857</v>
      </c>
      <c r="C518" s="2">
        <v>0.195078527468857</v>
      </c>
      <c r="D518" s="1" t="s">
        <v>400</v>
      </c>
      <c r="E518" s="2">
        <v>-0.0409532646373207</v>
      </c>
      <c r="F518" s="2">
        <v>0.0810554410622011</v>
      </c>
      <c r="G518" s="1">
        <v>1</v>
      </c>
    </row>
    <row r="519" spans="1:7">
      <c r="A519" s="1" t="s">
        <v>137</v>
      </c>
      <c r="B519" s="2">
        <v>0.0166903551982435</v>
      </c>
      <c r="C519" s="2">
        <v>0.0166903551982435</v>
      </c>
      <c r="D519" s="1" t="s">
        <v>399</v>
      </c>
      <c r="E519" s="2">
        <v>-0.0409532646373207</v>
      </c>
      <c r="F519" s="2">
        <v>0.0810554410622011</v>
      </c>
      <c r="G519" s="1">
        <v>1</v>
      </c>
    </row>
    <row r="520" spans="1:7">
      <c r="A520" s="1" t="s">
        <v>137</v>
      </c>
      <c r="B520" s="2">
        <v>0.0574529792192448</v>
      </c>
      <c r="C520" s="2">
        <v>0.0574529792192448</v>
      </c>
      <c r="D520" s="1" t="s">
        <v>399</v>
      </c>
      <c r="E520" s="2">
        <v>-0.0409532646373207</v>
      </c>
      <c r="F520" s="2">
        <v>0.0810554410622011</v>
      </c>
      <c r="G520" s="1">
        <v>1</v>
      </c>
    </row>
    <row r="521" spans="1:7">
      <c r="A521" s="1" t="s">
        <v>137</v>
      </c>
      <c r="B521" s="2">
        <v>0.0384674526844451</v>
      </c>
      <c r="C521" s="2">
        <v>0.0384674526844451</v>
      </c>
      <c r="D521" s="1" t="s">
        <v>399</v>
      </c>
      <c r="E521" s="2">
        <v>-0.0409532646373207</v>
      </c>
      <c r="F521" s="2">
        <v>0.0810554410622011</v>
      </c>
      <c r="G521" s="1">
        <v>1</v>
      </c>
    </row>
    <row r="522" spans="1:7">
      <c r="A522" s="1" t="s">
        <v>137</v>
      </c>
      <c r="B522" s="2">
        <v>0.0281197603540182</v>
      </c>
      <c r="C522" s="2">
        <v>0.0281197603540182</v>
      </c>
      <c r="D522" s="1" t="s">
        <v>399</v>
      </c>
      <c r="E522" s="2">
        <v>-0.0409532646373207</v>
      </c>
      <c r="F522" s="2">
        <v>0.0810554410622011</v>
      </c>
      <c r="G522" s="1">
        <v>1</v>
      </c>
    </row>
    <row r="523" spans="1:7">
      <c r="A523" s="1" t="s">
        <v>137</v>
      </c>
      <c r="B523" s="2">
        <v>0.0152012795690435</v>
      </c>
      <c r="C523" s="2">
        <v>0.0152012795690435</v>
      </c>
      <c r="D523" s="1" t="s">
        <v>399</v>
      </c>
      <c r="E523" s="2">
        <v>-0.0409532646373207</v>
      </c>
      <c r="F523" s="2">
        <v>0.0810554410622011</v>
      </c>
      <c r="G523" s="1">
        <v>1</v>
      </c>
    </row>
    <row r="524" spans="1:7">
      <c r="A524" s="1" t="s">
        <v>137</v>
      </c>
      <c r="B524" s="2">
        <v>0.05370484464</v>
      </c>
      <c r="C524" s="2">
        <v>0.05370484464</v>
      </c>
      <c r="D524" s="1" t="s">
        <v>399</v>
      </c>
      <c r="E524" s="2">
        <v>-0.0409532646373207</v>
      </c>
      <c r="F524" s="2">
        <v>0.0810554410622011</v>
      </c>
      <c r="G524" s="1">
        <v>1</v>
      </c>
    </row>
    <row r="525" spans="1:7">
      <c r="A525" s="1" t="s">
        <v>137</v>
      </c>
      <c r="B525" s="2">
        <v>0.0184541996924263</v>
      </c>
      <c r="C525" s="2">
        <v>0.0184541996924263</v>
      </c>
      <c r="D525" s="1" t="s">
        <v>399</v>
      </c>
      <c r="E525" s="2">
        <v>-0.0409532646373207</v>
      </c>
      <c r="F525" s="2">
        <v>0.0810554410622011</v>
      </c>
      <c r="G525" s="1">
        <v>1</v>
      </c>
    </row>
    <row r="526" spans="1:7">
      <c r="A526" s="1" t="s">
        <v>137</v>
      </c>
      <c r="B526" s="2">
        <v>0.0863906414424872</v>
      </c>
      <c r="C526" s="2">
        <v>0.0863906414424872</v>
      </c>
      <c r="D526" s="1" t="s">
        <v>400</v>
      </c>
      <c r="E526" s="2">
        <v>-0.0409532646373207</v>
      </c>
      <c r="F526" s="2">
        <v>0.0810554410622011</v>
      </c>
      <c r="G526" s="1">
        <v>1</v>
      </c>
    </row>
    <row r="527" spans="1:7">
      <c r="A527" s="1" t="s">
        <v>137</v>
      </c>
      <c r="B527" s="2">
        <v>0.0967127222645701</v>
      </c>
      <c r="C527" s="2">
        <v>0.0967127222645701</v>
      </c>
      <c r="D527" s="1" t="s">
        <v>400</v>
      </c>
      <c r="E527" s="2">
        <v>-0.0409532646373207</v>
      </c>
      <c r="F527" s="2">
        <v>0.0810554410622011</v>
      </c>
      <c r="G527" s="1">
        <v>1</v>
      </c>
    </row>
    <row r="528" spans="1:7">
      <c r="A528" s="1" t="s">
        <v>137</v>
      </c>
      <c r="B528" s="2">
        <v>0.122132189842225</v>
      </c>
      <c r="C528" s="2">
        <v>0.122132189842225</v>
      </c>
      <c r="D528" s="1" t="s">
        <v>400</v>
      </c>
      <c r="E528" s="2">
        <v>-0.0409532646373207</v>
      </c>
      <c r="F528" s="2">
        <v>0.0810554410622011</v>
      </c>
      <c r="G528" s="1">
        <v>1</v>
      </c>
    </row>
    <row r="529" spans="1:7">
      <c r="A529" s="1" t="s">
        <v>137</v>
      </c>
      <c r="B529" s="2">
        <v>0.0910164549502997</v>
      </c>
      <c r="C529" s="2">
        <v>0.0910164549502997</v>
      </c>
      <c r="D529" s="1" t="s">
        <v>400</v>
      </c>
      <c r="E529" s="2">
        <v>-0.0409532646373207</v>
      </c>
      <c r="F529" s="2">
        <v>0.0810554410622011</v>
      </c>
      <c r="G529" s="1">
        <v>1</v>
      </c>
    </row>
    <row r="530" spans="1:7">
      <c r="A530" s="1" t="s">
        <v>137</v>
      </c>
      <c r="B530" s="2">
        <v>0.0381375292485918</v>
      </c>
      <c r="C530" s="2">
        <v>0.0381375292485918</v>
      </c>
      <c r="D530" s="1" t="s">
        <v>399</v>
      </c>
      <c r="E530" s="2">
        <v>-0.0409532646373207</v>
      </c>
      <c r="F530" s="2">
        <v>0.0810554410622011</v>
      </c>
      <c r="G530" s="1">
        <v>1</v>
      </c>
    </row>
    <row r="531" spans="1:7">
      <c r="A531" s="1" t="s">
        <v>137</v>
      </c>
      <c r="B531" s="2">
        <v>0.0190677797079037</v>
      </c>
      <c r="C531" s="2">
        <v>0.0190677797079037</v>
      </c>
      <c r="D531" s="1" t="s">
        <v>399</v>
      </c>
      <c r="E531" s="2">
        <v>-0.0409532646373207</v>
      </c>
      <c r="F531" s="2">
        <v>0.0810554410622011</v>
      </c>
      <c r="G531" s="1">
        <v>1</v>
      </c>
    </row>
    <row r="532" spans="1:7">
      <c r="A532" s="1" t="s">
        <v>137</v>
      </c>
      <c r="B532" s="2">
        <v>0.023830321629479</v>
      </c>
      <c r="C532" s="2">
        <v>0.023830321629479</v>
      </c>
      <c r="D532" s="1" t="s">
        <v>399</v>
      </c>
      <c r="E532" s="2">
        <v>-0.0409532646373207</v>
      </c>
      <c r="F532" s="2">
        <v>0.0810554410622011</v>
      </c>
      <c r="G532" s="1">
        <v>1</v>
      </c>
    </row>
    <row r="533" spans="1:7">
      <c r="A533" s="1" t="s">
        <v>137</v>
      </c>
      <c r="B533" s="2">
        <v>0.0447455015412029</v>
      </c>
      <c r="C533" s="2">
        <v>0.0447455015412029</v>
      </c>
      <c r="D533" s="1" t="s">
        <v>399</v>
      </c>
      <c r="E533" s="2">
        <v>-0.0409532646373207</v>
      </c>
      <c r="F533" s="2">
        <v>0.0810554410622011</v>
      </c>
      <c r="G533" s="1">
        <v>1</v>
      </c>
    </row>
    <row r="534" spans="1:7">
      <c r="A534" s="1" t="s">
        <v>137</v>
      </c>
      <c r="B534" s="2">
        <v>0.0108392192999601</v>
      </c>
      <c r="C534" s="2">
        <v>0.0108392192999601</v>
      </c>
      <c r="D534" s="1" t="s">
        <v>399</v>
      </c>
      <c r="E534" s="2">
        <v>-0.0409532646373207</v>
      </c>
      <c r="F534" s="2">
        <v>0.0810554410622011</v>
      </c>
      <c r="G534" s="1">
        <v>1</v>
      </c>
    </row>
    <row r="535" spans="1:7">
      <c r="A535" s="1" t="s">
        <v>137</v>
      </c>
      <c r="B535" s="2">
        <v>0.0205340699276323</v>
      </c>
      <c r="C535" s="2">
        <v>0.0205340699276323</v>
      </c>
      <c r="D535" s="1" t="s">
        <v>399</v>
      </c>
      <c r="E535" s="2">
        <v>-0.0409532646373207</v>
      </c>
      <c r="F535" s="2">
        <v>0.0810554410622011</v>
      </c>
      <c r="G535" s="1">
        <v>1</v>
      </c>
    </row>
    <row r="536" spans="1:7">
      <c r="A536" s="1" t="s">
        <v>137</v>
      </c>
      <c r="B536" s="2">
        <v>0.0124236536259782</v>
      </c>
      <c r="C536" s="2">
        <v>0.0124236536259782</v>
      </c>
      <c r="D536" s="1" t="s">
        <v>399</v>
      </c>
      <c r="E536" s="2">
        <v>-0.0409532646373207</v>
      </c>
      <c r="F536" s="2">
        <v>0.0810554410622011</v>
      </c>
      <c r="G536" s="1">
        <v>1</v>
      </c>
    </row>
    <row r="537" spans="1:7">
      <c r="A537" s="1" t="s">
        <v>137</v>
      </c>
      <c r="B537" s="2">
        <v>0.0115768647069879</v>
      </c>
      <c r="C537" s="2">
        <v>0.0115768647069879</v>
      </c>
      <c r="D537" s="1" t="s">
        <v>399</v>
      </c>
      <c r="E537" s="2">
        <v>-0.0409532646373207</v>
      </c>
      <c r="F537" s="2">
        <v>0.0810554410622011</v>
      </c>
      <c r="G537" s="1">
        <v>1</v>
      </c>
    </row>
    <row r="538" spans="1:7">
      <c r="A538" s="1" t="s">
        <v>137</v>
      </c>
      <c r="B538" s="2">
        <v>0.0119548804117875</v>
      </c>
      <c r="C538" s="2">
        <v>0.0119548804117875</v>
      </c>
      <c r="D538" s="1" t="s">
        <v>399</v>
      </c>
      <c r="E538" s="2">
        <v>-0.0409532646373207</v>
      </c>
      <c r="F538" s="2">
        <v>0.0810554410622011</v>
      </c>
      <c r="G538" s="1">
        <v>1</v>
      </c>
    </row>
    <row r="539" spans="1:7">
      <c r="A539" s="1" t="s">
        <v>137</v>
      </c>
      <c r="B539" s="2">
        <v>0.0133054809414977</v>
      </c>
      <c r="C539" s="2">
        <v>0.0133054809414977</v>
      </c>
      <c r="D539" s="1" t="s">
        <v>399</v>
      </c>
      <c r="E539" s="2">
        <v>-0.0409532646373207</v>
      </c>
      <c r="F539" s="2">
        <v>0.0810554410622011</v>
      </c>
      <c r="G539" s="1">
        <v>1</v>
      </c>
    </row>
    <row r="540" spans="1:7">
      <c r="A540" s="1" t="s">
        <v>137</v>
      </c>
      <c r="B540" s="2">
        <v>0.00303926328361242</v>
      </c>
      <c r="C540" s="2">
        <v>0.00303926328361242</v>
      </c>
      <c r="D540" s="1" t="s">
        <v>399</v>
      </c>
      <c r="E540" s="2">
        <v>-0.0409532646373207</v>
      </c>
      <c r="F540" s="2">
        <v>0.0810554410622011</v>
      </c>
      <c r="G540" s="1">
        <v>1</v>
      </c>
    </row>
    <row r="541" spans="1:7">
      <c r="A541" s="1" t="s">
        <v>137</v>
      </c>
      <c r="B541" s="2">
        <v>0.00829788218052665</v>
      </c>
      <c r="C541" s="2">
        <v>0.00829788218052665</v>
      </c>
      <c r="D541" s="1" t="s">
        <v>399</v>
      </c>
      <c r="E541" s="2">
        <v>-0.0409532646373207</v>
      </c>
      <c r="F541" s="2">
        <v>0.0810554410622011</v>
      </c>
      <c r="G541" s="1">
        <v>1</v>
      </c>
    </row>
    <row r="542" spans="1:7">
      <c r="A542" s="1" t="s">
        <v>137</v>
      </c>
      <c r="B542" s="2">
        <v>0.00797061018654464</v>
      </c>
      <c r="C542" s="2">
        <v>0.00797061018654464</v>
      </c>
      <c r="D542" s="1" t="s">
        <v>399</v>
      </c>
      <c r="E542" s="2">
        <v>-0.0409532646373207</v>
      </c>
      <c r="F542" s="2">
        <v>0.0810554410622011</v>
      </c>
      <c r="G542" s="1">
        <v>1</v>
      </c>
    </row>
    <row r="543" spans="1:7">
      <c r="A543" s="1" t="s">
        <v>137</v>
      </c>
      <c r="B543" s="2">
        <v>0.00148809668414708</v>
      </c>
      <c r="C543" s="2">
        <v>0.00148809668414708</v>
      </c>
      <c r="D543" s="1" t="s">
        <v>399</v>
      </c>
      <c r="E543" s="2">
        <v>-0.0409532646373207</v>
      </c>
      <c r="F543" s="2">
        <v>0.0810554410622011</v>
      </c>
      <c r="G543" s="1">
        <v>1</v>
      </c>
    </row>
    <row r="544" spans="1:7">
      <c r="A544" s="1" t="s">
        <v>137</v>
      </c>
      <c r="B544" s="2">
        <v>0.0116258685632407</v>
      </c>
      <c r="C544" s="2">
        <v>0.0116258685632407</v>
      </c>
      <c r="D544" s="1" t="s">
        <v>399</v>
      </c>
      <c r="E544" s="2">
        <v>-0.0409532646373207</v>
      </c>
      <c r="F544" s="2">
        <v>0.0810554410622011</v>
      </c>
      <c r="G544" s="1">
        <v>1</v>
      </c>
    </row>
    <row r="545" spans="1:7">
      <c r="A545" s="1" t="s">
        <v>137</v>
      </c>
      <c r="B545" s="2">
        <v>0.0107588581327691</v>
      </c>
      <c r="C545" s="2">
        <v>0.0107588581327691</v>
      </c>
      <c r="D545" s="1" t="s">
        <v>399</v>
      </c>
      <c r="E545" s="2">
        <v>-0.0409532646373207</v>
      </c>
      <c r="F545" s="2">
        <v>0.0810554410622011</v>
      </c>
      <c r="G545" s="1">
        <v>1</v>
      </c>
    </row>
    <row r="546" spans="1:7">
      <c r="A546" s="1" t="s">
        <v>137</v>
      </c>
      <c r="B546" s="2">
        <v>0.127093040724159</v>
      </c>
      <c r="C546" s="2">
        <v>0.127093040724159</v>
      </c>
      <c r="D546" s="1" t="s">
        <v>400</v>
      </c>
      <c r="E546" s="2">
        <v>-0.0409532646373207</v>
      </c>
      <c r="F546" s="2">
        <v>0.0810554410622011</v>
      </c>
      <c r="G546" s="1">
        <v>1</v>
      </c>
    </row>
    <row r="547" spans="1:7">
      <c r="A547" s="1" t="s">
        <v>137</v>
      </c>
      <c r="B547" s="2">
        <v>0.155962561869142</v>
      </c>
      <c r="C547" s="2">
        <v>0.155962561869142</v>
      </c>
      <c r="D547" s="1" t="s">
        <v>400</v>
      </c>
      <c r="E547" s="2">
        <v>-0.0409532646373207</v>
      </c>
      <c r="F547" s="2">
        <v>0.0810554410622011</v>
      </c>
      <c r="G547" s="1">
        <v>1</v>
      </c>
    </row>
    <row r="548" spans="1:7">
      <c r="A548" s="1" t="s">
        <v>137</v>
      </c>
      <c r="B548" s="2">
        <v>0.236740933264617</v>
      </c>
      <c r="C548" s="2">
        <v>0.236740933264617</v>
      </c>
      <c r="D548" s="1" t="s">
        <v>400</v>
      </c>
      <c r="E548" s="2">
        <v>-0.0409532646373207</v>
      </c>
      <c r="F548" s="2">
        <v>0.0810554410622011</v>
      </c>
      <c r="G548" s="1">
        <v>1</v>
      </c>
    </row>
    <row r="549" spans="1:7">
      <c r="A549" s="1" t="s">
        <v>137</v>
      </c>
      <c r="B549" s="2">
        <v>0.00244933141306575</v>
      </c>
      <c r="C549" s="2">
        <v>0.00244933141306575</v>
      </c>
      <c r="D549" s="1" t="s">
        <v>399</v>
      </c>
      <c r="E549" s="2">
        <v>-0.0409532646373207</v>
      </c>
      <c r="F549" s="2">
        <v>0.0810554410622011</v>
      </c>
      <c r="G549" s="1">
        <v>1</v>
      </c>
    </row>
    <row r="550" spans="1:7">
      <c r="A550" s="1" t="s">
        <v>137</v>
      </c>
      <c r="B550" s="2">
        <v>0.00434793743365526</v>
      </c>
      <c r="C550" s="2">
        <v>0.00434793743365526</v>
      </c>
      <c r="D550" s="1" t="s">
        <v>399</v>
      </c>
      <c r="E550" s="2">
        <v>-0.0409532646373207</v>
      </c>
      <c r="F550" s="2">
        <v>0.0810554410622011</v>
      </c>
      <c r="G550" s="1">
        <v>1</v>
      </c>
    </row>
    <row r="551" spans="1:7">
      <c r="A551" s="1" t="s">
        <v>137</v>
      </c>
      <c r="B551" s="2">
        <v>0.014582116955913</v>
      </c>
      <c r="C551" s="2">
        <v>0.014582116955913</v>
      </c>
      <c r="D551" s="1" t="s">
        <v>399</v>
      </c>
      <c r="E551" s="2">
        <v>-0.0409532646373207</v>
      </c>
      <c r="F551" s="2">
        <v>0.0810554410622011</v>
      </c>
      <c r="G551" s="1">
        <v>1</v>
      </c>
    </row>
    <row r="552" spans="1:7">
      <c r="A552" s="1" t="s">
        <v>137</v>
      </c>
      <c r="B552" s="2">
        <v>0.012515748997746</v>
      </c>
      <c r="C552" s="2">
        <v>0.012515748997746</v>
      </c>
      <c r="D552" s="1" t="s">
        <v>399</v>
      </c>
      <c r="E552" s="2">
        <v>-0.0409532646373207</v>
      </c>
      <c r="F552" s="2">
        <v>0.0810554410622011</v>
      </c>
      <c r="G552" s="1">
        <v>1</v>
      </c>
    </row>
    <row r="553" spans="1:7">
      <c r="A553" s="1" t="s">
        <v>137</v>
      </c>
      <c r="B553" s="2">
        <v>0.00983944316619611</v>
      </c>
      <c r="C553" s="2">
        <v>0.00983944316619611</v>
      </c>
      <c r="D553" s="1" t="s">
        <v>399</v>
      </c>
      <c r="E553" s="2">
        <v>-0.0409532646373207</v>
      </c>
      <c r="F553" s="2">
        <v>0.0810554410622011</v>
      </c>
      <c r="G553" s="1">
        <v>1</v>
      </c>
    </row>
    <row r="554" spans="1:7">
      <c r="A554" s="1" t="s">
        <v>137</v>
      </c>
      <c r="B554" s="2">
        <v>0.0112158149670908</v>
      </c>
      <c r="C554" s="2">
        <v>0.0112158149670908</v>
      </c>
      <c r="D554" s="1" t="s">
        <v>399</v>
      </c>
      <c r="E554" s="2">
        <v>-0.0409532646373207</v>
      </c>
      <c r="F554" s="2">
        <v>0.0810554410622011</v>
      </c>
      <c r="G554" s="1">
        <v>1</v>
      </c>
    </row>
    <row r="555" spans="1:7">
      <c r="A555" s="1" t="s">
        <v>137</v>
      </c>
      <c r="B555" s="2">
        <v>0.0107237879001898</v>
      </c>
      <c r="C555" s="2">
        <v>0.0107237879001898</v>
      </c>
      <c r="D555" s="1" t="s">
        <v>399</v>
      </c>
      <c r="E555" s="2">
        <v>-0.0409532646373207</v>
      </c>
      <c r="F555" s="2">
        <v>0.0810554410622011</v>
      </c>
      <c r="G555" s="1">
        <v>1</v>
      </c>
    </row>
    <row r="556" spans="1:7">
      <c r="A556" s="1" t="s">
        <v>137</v>
      </c>
      <c r="B556" s="2">
        <v>0.0576989759421125</v>
      </c>
      <c r="C556" s="2">
        <v>0.0576989759421125</v>
      </c>
      <c r="D556" s="1" t="s">
        <v>399</v>
      </c>
      <c r="E556" s="2">
        <v>-0.0409532646373207</v>
      </c>
      <c r="F556" s="2">
        <v>0.0810554410622011</v>
      </c>
      <c r="G556" s="1">
        <v>1</v>
      </c>
    </row>
    <row r="557" spans="1:7">
      <c r="A557" s="1" t="s">
        <v>137</v>
      </c>
      <c r="B557" s="2">
        <v>0.108898577566701</v>
      </c>
      <c r="C557" s="2">
        <v>0.108898577566701</v>
      </c>
      <c r="D557" s="1" t="s">
        <v>400</v>
      </c>
      <c r="E557" s="2">
        <v>-0.0409532646373207</v>
      </c>
      <c r="F557" s="2">
        <v>0.0810554410622011</v>
      </c>
      <c r="G557" s="1">
        <v>1</v>
      </c>
    </row>
    <row r="558" spans="1:7">
      <c r="A558" s="1" t="s">
        <v>137</v>
      </c>
      <c r="B558" s="2">
        <v>0.0109464715571077</v>
      </c>
      <c r="C558" s="2">
        <v>0.0109464715571077</v>
      </c>
      <c r="D558" s="1" t="s">
        <v>399</v>
      </c>
      <c r="E558" s="2">
        <v>-0.0409532646373207</v>
      </c>
      <c r="F558" s="2">
        <v>0.0810554410622011</v>
      </c>
      <c r="G558" s="1">
        <v>1</v>
      </c>
    </row>
    <row r="559" spans="1:7">
      <c r="A559" s="1" t="s">
        <v>137</v>
      </c>
      <c r="B559" s="2">
        <v>0.00481906719219249</v>
      </c>
      <c r="C559" s="2">
        <v>0.00481906719219249</v>
      </c>
      <c r="D559" s="1" t="s">
        <v>399</v>
      </c>
      <c r="E559" s="2">
        <v>-0.0409532646373207</v>
      </c>
      <c r="F559" s="2">
        <v>0.0810554410622011</v>
      </c>
      <c r="G559" s="1">
        <v>1</v>
      </c>
    </row>
    <row r="560" spans="1:7">
      <c r="A560" s="1" t="s">
        <v>137</v>
      </c>
      <c r="B560" s="2">
        <v>0.00824941443811267</v>
      </c>
      <c r="C560" s="2">
        <v>0.00824941443811267</v>
      </c>
      <c r="D560" s="1" t="s">
        <v>399</v>
      </c>
      <c r="E560" s="2">
        <v>-0.0409532646373207</v>
      </c>
      <c r="F560" s="2">
        <v>0.0810554410622011</v>
      </c>
      <c r="G560" s="1">
        <v>1</v>
      </c>
    </row>
    <row r="561" spans="1:7">
      <c r="A561" s="1" t="s">
        <v>137</v>
      </c>
      <c r="B561" s="2">
        <v>0.00886632808827343</v>
      </c>
      <c r="C561" s="2">
        <v>0.00886632808827343</v>
      </c>
      <c r="D561" s="1" t="s">
        <v>399</v>
      </c>
      <c r="E561" s="2">
        <v>-0.0409532646373207</v>
      </c>
      <c r="F561" s="2">
        <v>0.0810554410622011</v>
      </c>
      <c r="G561" s="1">
        <v>1</v>
      </c>
    </row>
    <row r="562" spans="1:7">
      <c r="A562" s="1" t="s">
        <v>137</v>
      </c>
      <c r="B562" s="2">
        <v>0.0101349819519091</v>
      </c>
      <c r="C562" s="2">
        <v>0.0101349819519091</v>
      </c>
      <c r="D562" s="1" t="s">
        <v>399</v>
      </c>
      <c r="E562" s="2">
        <v>-0.0409532646373207</v>
      </c>
      <c r="F562" s="2">
        <v>0.0810554410622011</v>
      </c>
      <c r="G562" s="1">
        <v>1</v>
      </c>
    </row>
    <row r="563" spans="1:7">
      <c r="A563" s="1" t="s">
        <v>137</v>
      </c>
      <c r="B563" s="2">
        <v>0.0101054266097208</v>
      </c>
      <c r="C563" s="2">
        <v>0.0101054266097208</v>
      </c>
      <c r="D563" s="1" t="s">
        <v>399</v>
      </c>
      <c r="E563" s="2">
        <v>-0.0409532646373207</v>
      </c>
      <c r="F563" s="2">
        <v>0.0810554410622011</v>
      </c>
      <c r="G563" s="1">
        <v>1</v>
      </c>
    </row>
    <row r="564" spans="1:7">
      <c r="A564" s="1" t="s">
        <v>137</v>
      </c>
      <c r="B564" s="2">
        <v>0.00715705572556631</v>
      </c>
      <c r="C564" s="2">
        <v>0.00715705572556631</v>
      </c>
      <c r="D564" s="1" t="s">
        <v>399</v>
      </c>
      <c r="E564" s="2">
        <v>-0.0409532646373207</v>
      </c>
      <c r="F564" s="2">
        <v>0.0810554410622011</v>
      </c>
      <c r="G564" s="1">
        <v>1</v>
      </c>
    </row>
    <row r="565" spans="1:7">
      <c r="A565" s="1" t="s">
        <v>137</v>
      </c>
      <c r="B565" s="2">
        <v>0.00621764482162806</v>
      </c>
      <c r="C565" s="2">
        <v>0.00621764482162806</v>
      </c>
      <c r="D565" s="1" t="s">
        <v>399</v>
      </c>
      <c r="E565" s="2">
        <v>-0.0409532646373207</v>
      </c>
      <c r="F565" s="2">
        <v>0.0810554410622011</v>
      </c>
      <c r="G565" s="1">
        <v>1</v>
      </c>
    </row>
    <row r="566" spans="1:7">
      <c r="A566" s="1" t="s">
        <v>137</v>
      </c>
      <c r="B566" s="2">
        <v>0.0104546644041838</v>
      </c>
      <c r="C566" s="2">
        <v>0.0104546644041838</v>
      </c>
      <c r="D566" s="1" t="s">
        <v>399</v>
      </c>
      <c r="E566" s="2">
        <v>-0.0409532646373207</v>
      </c>
      <c r="F566" s="2">
        <v>0.0810554410622011</v>
      </c>
      <c r="G566" s="1">
        <v>1</v>
      </c>
    </row>
    <row r="567" spans="1:7">
      <c r="A567" s="1" t="s">
        <v>137</v>
      </c>
      <c r="B567" s="2">
        <v>0.015974881749785</v>
      </c>
      <c r="C567" s="2">
        <v>0.015974881749785</v>
      </c>
      <c r="D567" s="1" t="s">
        <v>399</v>
      </c>
      <c r="E567" s="2">
        <v>-0.0409532646373207</v>
      </c>
      <c r="F567" s="2">
        <v>0.0810554410622011</v>
      </c>
      <c r="G567" s="1">
        <v>1</v>
      </c>
    </row>
    <row r="568" spans="1:7">
      <c r="A568" s="1" t="s">
        <v>137</v>
      </c>
      <c r="B568" s="2">
        <v>0.00913641921673725</v>
      </c>
      <c r="C568" s="2">
        <v>0.00913641921673725</v>
      </c>
      <c r="D568" s="1" t="s">
        <v>399</v>
      </c>
      <c r="E568" s="2">
        <v>-0.0409532646373207</v>
      </c>
      <c r="F568" s="2">
        <v>0.0810554410622011</v>
      </c>
      <c r="G568" s="1">
        <v>1</v>
      </c>
    </row>
    <row r="569" spans="1:7">
      <c r="A569" s="1" t="s">
        <v>137</v>
      </c>
      <c r="B569" s="2">
        <v>0.00824588550240485</v>
      </c>
      <c r="C569" s="2">
        <v>0.00824588550240485</v>
      </c>
      <c r="D569" s="1" t="s">
        <v>399</v>
      </c>
      <c r="E569" s="2">
        <v>-0.0409532646373207</v>
      </c>
      <c r="F569" s="2">
        <v>0.0810554410622011</v>
      </c>
      <c r="G569" s="1">
        <v>1</v>
      </c>
    </row>
    <row r="570" spans="1:7">
      <c r="A570" s="1" t="s">
        <v>137</v>
      </c>
      <c r="B570" s="2">
        <v>0.0144344923442112</v>
      </c>
      <c r="C570" s="2">
        <v>0.0144344923442112</v>
      </c>
      <c r="D570" s="1" t="s">
        <v>399</v>
      </c>
      <c r="E570" s="2">
        <v>-0.0409532646373207</v>
      </c>
      <c r="F570" s="2">
        <v>0.0810554410622011</v>
      </c>
      <c r="G570" s="1">
        <v>1</v>
      </c>
    </row>
    <row r="571" spans="1:7">
      <c r="A571" s="1" t="s">
        <v>137</v>
      </c>
      <c r="B571" s="2">
        <v>0.0185148921165522</v>
      </c>
      <c r="C571" s="2">
        <v>0.0185148921165522</v>
      </c>
      <c r="D571" s="1" t="s">
        <v>399</v>
      </c>
      <c r="E571" s="2">
        <v>-0.0409532646373207</v>
      </c>
      <c r="F571" s="2">
        <v>0.0810554410622011</v>
      </c>
      <c r="G571" s="1">
        <v>1</v>
      </c>
    </row>
    <row r="572" spans="1:7">
      <c r="A572" s="1" t="s">
        <v>137</v>
      </c>
      <c r="B572" s="2">
        <v>0.0480006797506273</v>
      </c>
      <c r="C572" s="2">
        <v>0.0480006797506273</v>
      </c>
      <c r="D572" s="1" t="s">
        <v>399</v>
      </c>
      <c r="E572" s="2">
        <v>-0.0409532646373207</v>
      </c>
      <c r="F572" s="2">
        <v>0.0810554410622011</v>
      </c>
      <c r="G572" s="1">
        <v>1</v>
      </c>
    </row>
    <row r="573" spans="1:7">
      <c r="A573" s="1" t="s">
        <v>137</v>
      </c>
      <c r="B573" s="2">
        <v>0.0976878788281305</v>
      </c>
      <c r="C573" s="2">
        <v>0.0976878788281305</v>
      </c>
      <c r="D573" s="1" t="s">
        <v>400</v>
      </c>
      <c r="E573" s="2">
        <v>-0.0409532646373207</v>
      </c>
      <c r="F573" s="2">
        <v>0.0810554410622011</v>
      </c>
      <c r="G573" s="1">
        <v>1</v>
      </c>
    </row>
    <row r="574" spans="1:7">
      <c r="A574" s="1" t="s">
        <v>137</v>
      </c>
      <c r="B574" s="2">
        <v>0.0401322853382442</v>
      </c>
      <c r="C574" s="2">
        <v>0.0401322853382442</v>
      </c>
      <c r="D574" s="1" t="s">
        <v>399</v>
      </c>
      <c r="E574" s="2">
        <v>-0.0409532646373207</v>
      </c>
      <c r="F574" s="2">
        <v>0.0810554410622011</v>
      </c>
      <c r="G574" s="1">
        <v>1</v>
      </c>
    </row>
    <row r="575" spans="1:7">
      <c r="A575" s="1" t="s">
        <v>137</v>
      </c>
      <c r="B575" s="2">
        <v>0.0463524728981751</v>
      </c>
      <c r="C575" s="2">
        <v>0.0463524728981751</v>
      </c>
      <c r="D575" s="1" t="s">
        <v>399</v>
      </c>
      <c r="E575" s="2">
        <v>-0.0409532646373207</v>
      </c>
      <c r="F575" s="2">
        <v>0.0810554410622011</v>
      </c>
      <c r="G575" s="1">
        <v>1</v>
      </c>
    </row>
    <row r="576" spans="1:7">
      <c r="A576" s="1" t="s">
        <v>137</v>
      </c>
      <c r="B576" s="2">
        <v>0.0530051936512624</v>
      </c>
      <c r="C576" s="2">
        <v>0.0530051936512624</v>
      </c>
      <c r="D576" s="1" t="s">
        <v>399</v>
      </c>
      <c r="E576" s="2">
        <v>-0.0409532646373207</v>
      </c>
      <c r="F576" s="2">
        <v>0.0810554410622011</v>
      </c>
      <c r="G576" s="1">
        <v>1</v>
      </c>
    </row>
    <row r="577" spans="1:7">
      <c r="A577" s="1" t="s">
        <v>137</v>
      </c>
      <c r="B577" s="2">
        <v>0.00930034631087752</v>
      </c>
      <c r="C577" s="2">
        <v>0.00930034631087752</v>
      </c>
      <c r="D577" s="1" t="s">
        <v>399</v>
      </c>
      <c r="E577" s="2">
        <v>-0.0409532646373207</v>
      </c>
      <c r="F577" s="2">
        <v>0.0810554410622011</v>
      </c>
      <c r="G577" s="1">
        <v>1</v>
      </c>
    </row>
    <row r="578" spans="1:7">
      <c r="A578" s="1" t="s">
        <v>137</v>
      </c>
      <c r="B578" s="2">
        <v>0.027689223462424</v>
      </c>
      <c r="C578" s="2">
        <v>0.027689223462424</v>
      </c>
      <c r="D578" s="1" t="s">
        <v>399</v>
      </c>
      <c r="E578" s="2">
        <v>-0.0409532646373207</v>
      </c>
      <c r="F578" s="2">
        <v>0.0810554410622011</v>
      </c>
      <c r="G578" s="1">
        <v>1</v>
      </c>
    </row>
    <row r="579" spans="1:7">
      <c r="A579" s="1" t="s">
        <v>137</v>
      </c>
      <c r="B579" s="2">
        <v>0.018694740384</v>
      </c>
      <c r="C579" s="2">
        <v>0.018694740384</v>
      </c>
      <c r="D579" s="1" t="s">
        <v>399</v>
      </c>
      <c r="E579" s="2">
        <v>-0.0409532646373207</v>
      </c>
      <c r="F579" s="2">
        <v>0.0810554410622011</v>
      </c>
      <c r="G579" s="1">
        <v>1</v>
      </c>
    </row>
    <row r="580" spans="1:7">
      <c r="A580" s="1" t="s">
        <v>137</v>
      </c>
      <c r="B580" s="2">
        <v>0.0319424966840925</v>
      </c>
      <c r="C580" s="2">
        <v>0.0319424966840925</v>
      </c>
      <c r="D580" s="1" t="s">
        <v>399</v>
      </c>
      <c r="E580" s="2">
        <v>-0.0409532646373207</v>
      </c>
      <c r="F580" s="2">
        <v>0.0810554410622011</v>
      </c>
      <c r="G580" s="1">
        <v>1</v>
      </c>
    </row>
    <row r="581" spans="1:7">
      <c r="A581" s="1" t="s">
        <v>137</v>
      </c>
      <c r="B581" s="2">
        <v>0.0280168307265062</v>
      </c>
      <c r="C581" s="2">
        <v>0.0280168307265062</v>
      </c>
      <c r="D581" s="1" t="s">
        <v>399</v>
      </c>
      <c r="E581" s="2">
        <v>-0.0409532646373207</v>
      </c>
      <c r="F581" s="2">
        <v>0.0810554410622011</v>
      </c>
      <c r="G581" s="1">
        <v>1</v>
      </c>
    </row>
    <row r="582" spans="1:7">
      <c r="A582" s="1" t="s">
        <v>137</v>
      </c>
      <c r="B582" s="2">
        <v>0.0541614088271527</v>
      </c>
      <c r="C582" s="2">
        <v>0.0541614088271527</v>
      </c>
      <c r="D582" s="1" t="s">
        <v>399</v>
      </c>
      <c r="E582" s="2">
        <v>-0.0409532646373207</v>
      </c>
      <c r="F582" s="2">
        <v>0.0810554410622011</v>
      </c>
      <c r="G582" s="1">
        <v>1</v>
      </c>
    </row>
    <row r="583" spans="1:7">
      <c r="A583" s="1" t="s">
        <v>137</v>
      </c>
      <c r="B583" s="2">
        <v>0.0971981054429314</v>
      </c>
      <c r="C583" s="2">
        <v>0.0971981054429314</v>
      </c>
      <c r="D583" s="1" t="s">
        <v>400</v>
      </c>
      <c r="E583" s="2">
        <v>-0.0409532646373207</v>
      </c>
      <c r="F583" s="2">
        <v>0.0810554410622011</v>
      </c>
      <c r="G583" s="1">
        <v>1</v>
      </c>
    </row>
    <row r="584" spans="1:7">
      <c r="A584" s="1" t="s">
        <v>137</v>
      </c>
      <c r="B584" s="2">
        <v>0.0170689096541398</v>
      </c>
      <c r="C584" s="2">
        <v>0.0170689096541398</v>
      </c>
      <c r="D584" s="1" t="s">
        <v>399</v>
      </c>
      <c r="E584" s="2">
        <v>-0.0409532646373207</v>
      </c>
      <c r="F584" s="2">
        <v>0.0810554410622011</v>
      </c>
      <c r="G584" s="1">
        <v>1</v>
      </c>
    </row>
    <row r="585" spans="1:7">
      <c r="A585" s="1" t="s">
        <v>137</v>
      </c>
      <c r="B585" s="2">
        <v>0.0125397329934349</v>
      </c>
      <c r="C585" s="2">
        <v>0.0125397329934349</v>
      </c>
      <c r="D585" s="1" t="s">
        <v>399</v>
      </c>
      <c r="E585" s="2">
        <v>-0.0409532646373207</v>
      </c>
      <c r="F585" s="2">
        <v>0.0810554410622011</v>
      </c>
      <c r="G585" s="1">
        <v>1</v>
      </c>
    </row>
    <row r="586" spans="1:7">
      <c r="A586" s="1" t="s">
        <v>137</v>
      </c>
      <c r="B586" s="2">
        <v>0.0172270962847752</v>
      </c>
      <c r="C586" s="2">
        <v>0.0172270962847752</v>
      </c>
      <c r="D586" s="1" t="s">
        <v>399</v>
      </c>
      <c r="E586" s="2">
        <v>-0.0409532646373207</v>
      </c>
      <c r="F586" s="2">
        <v>0.0810554410622011</v>
      </c>
      <c r="G586" s="1">
        <v>1</v>
      </c>
    </row>
    <row r="587" spans="1:7">
      <c r="A587" s="1" t="s">
        <v>137</v>
      </c>
      <c r="B587" s="2">
        <v>0.0443991065176635</v>
      </c>
      <c r="C587" s="2">
        <v>0.0443991065176635</v>
      </c>
      <c r="D587" s="1" t="s">
        <v>399</v>
      </c>
      <c r="E587" s="2">
        <v>-0.0409532646373207</v>
      </c>
      <c r="F587" s="2">
        <v>0.0810554410622011</v>
      </c>
      <c r="G587" s="1">
        <v>1</v>
      </c>
    </row>
    <row r="588" spans="1:7">
      <c r="A588" s="1" t="s">
        <v>137</v>
      </c>
      <c r="B588" s="2">
        <v>0.217810101984579</v>
      </c>
      <c r="C588" s="2">
        <v>0.217810101984579</v>
      </c>
      <c r="D588" s="1" t="s">
        <v>400</v>
      </c>
      <c r="E588" s="2">
        <v>-0.0409532646373207</v>
      </c>
      <c r="F588" s="2">
        <v>0.0810554410622011</v>
      </c>
      <c r="G588" s="1">
        <v>1</v>
      </c>
    </row>
    <row r="589" spans="1:7">
      <c r="A589" s="1" t="s">
        <v>137</v>
      </c>
      <c r="B589" s="2">
        <v>0.0437633352782554</v>
      </c>
      <c r="C589" s="2">
        <v>0.0437633352782554</v>
      </c>
      <c r="D589" s="1" t="s">
        <v>399</v>
      </c>
      <c r="E589" s="2">
        <v>-0.0409532646373207</v>
      </c>
      <c r="F589" s="2">
        <v>0.0810554410622011</v>
      </c>
      <c r="G589" s="1">
        <v>1</v>
      </c>
    </row>
    <row r="590" spans="1:7">
      <c r="A590" s="1" t="s">
        <v>137</v>
      </c>
      <c r="B590" s="2">
        <v>0.0300816735823367</v>
      </c>
      <c r="C590" s="2">
        <v>0.0300816735823367</v>
      </c>
      <c r="D590" s="1" t="s">
        <v>399</v>
      </c>
      <c r="E590" s="2">
        <v>-0.0409532646373207</v>
      </c>
      <c r="F590" s="2">
        <v>0.0810554410622011</v>
      </c>
      <c r="G590" s="1">
        <v>1</v>
      </c>
    </row>
    <row r="591" spans="1:7">
      <c r="A591" s="1" t="s">
        <v>137</v>
      </c>
      <c r="B591" s="2">
        <v>0.0832297623356514</v>
      </c>
      <c r="C591" s="2">
        <v>0.0832297623356514</v>
      </c>
      <c r="D591" s="1" t="s">
        <v>400</v>
      </c>
      <c r="E591" s="2">
        <v>-0.0409532646373207</v>
      </c>
      <c r="F591" s="2">
        <v>0.0810554410622011</v>
      </c>
      <c r="G591" s="1">
        <v>1</v>
      </c>
    </row>
    <row r="592" spans="1:7">
      <c r="A592" s="1" t="s">
        <v>137</v>
      </c>
      <c r="B592" s="2">
        <v>0.0197143470167068</v>
      </c>
      <c r="C592" s="2">
        <v>0.0197143470167068</v>
      </c>
      <c r="D592" s="1" t="s">
        <v>399</v>
      </c>
      <c r="E592" s="2">
        <v>-0.0409532646373207</v>
      </c>
      <c r="F592" s="2">
        <v>0.0810554410622011</v>
      </c>
      <c r="G592" s="1">
        <v>1</v>
      </c>
    </row>
    <row r="593" spans="1:7">
      <c r="A593" s="1" t="s">
        <v>137</v>
      </c>
      <c r="B593" s="2">
        <v>0.0364334657254263</v>
      </c>
      <c r="C593" s="2">
        <v>0.0364334657254263</v>
      </c>
      <c r="D593" s="1" t="s">
        <v>399</v>
      </c>
      <c r="E593" s="2">
        <v>-0.0409532646373207</v>
      </c>
      <c r="F593" s="2">
        <v>0.0810554410622011</v>
      </c>
      <c r="G593" s="1">
        <v>1</v>
      </c>
    </row>
    <row r="594" spans="1:7">
      <c r="A594" s="1" t="s">
        <v>137</v>
      </c>
      <c r="B594" s="2">
        <v>0.049179205540439</v>
      </c>
      <c r="C594" s="2">
        <v>0.049179205540439</v>
      </c>
      <c r="D594" s="1" t="s">
        <v>399</v>
      </c>
      <c r="E594" s="2">
        <v>-0.0409532646373207</v>
      </c>
      <c r="F594" s="2">
        <v>0.0810554410622011</v>
      </c>
      <c r="G594" s="1">
        <v>1</v>
      </c>
    </row>
    <row r="595" spans="1:7">
      <c r="A595" s="1" t="s">
        <v>137</v>
      </c>
      <c r="B595" s="2">
        <v>0.0186554040803907</v>
      </c>
      <c r="C595" s="2">
        <v>0.0186554040803907</v>
      </c>
      <c r="D595" s="1" t="s">
        <v>399</v>
      </c>
      <c r="E595" s="2">
        <v>-0.0409532646373207</v>
      </c>
      <c r="F595" s="2">
        <v>0.0810554410622011</v>
      </c>
      <c r="G595" s="1">
        <v>1</v>
      </c>
    </row>
    <row r="596" spans="1:7">
      <c r="A596" s="1" t="s">
        <v>137</v>
      </c>
      <c r="B596" s="2">
        <v>0.115232655013127</v>
      </c>
      <c r="C596" s="2">
        <v>0.115232655013127</v>
      </c>
      <c r="D596" s="1" t="s">
        <v>400</v>
      </c>
      <c r="E596" s="2">
        <v>-0.0409532646373207</v>
      </c>
      <c r="F596" s="2">
        <v>0.0810554410622011</v>
      </c>
      <c r="G596" s="1">
        <v>1</v>
      </c>
    </row>
    <row r="597" spans="1:7">
      <c r="A597" s="1" t="s">
        <v>137</v>
      </c>
      <c r="B597" s="2">
        <v>0.177939494548147</v>
      </c>
      <c r="C597" s="2">
        <v>0.177939494548147</v>
      </c>
      <c r="D597" s="1" t="s">
        <v>400</v>
      </c>
      <c r="E597" s="2">
        <v>-0.0409532646373207</v>
      </c>
      <c r="F597" s="2">
        <v>0.0810554410622011</v>
      </c>
      <c r="G597" s="1">
        <v>1</v>
      </c>
    </row>
    <row r="598" spans="1:7">
      <c r="A598" s="1" t="s">
        <v>137</v>
      </c>
      <c r="B598" s="2">
        <v>0.15290712210639</v>
      </c>
      <c r="C598" s="2">
        <v>0.15290712210639</v>
      </c>
      <c r="D598" s="1" t="s">
        <v>400</v>
      </c>
      <c r="E598" s="2">
        <v>-0.0409532646373207</v>
      </c>
      <c r="F598" s="2">
        <v>0.0810554410622011</v>
      </c>
      <c r="G598" s="1">
        <v>1</v>
      </c>
    </row>
    <row r="599" spans="1:7">
      <c r="A599" s="1" t="s">
        <v>137</v>
      </c>
      <c r="B599" s="2">
        <v>0.0967127222645701</v>
      </c>
      <c r="C599" s="2">
        <v>0.0967127222645701</v>
      </c>
      <c r="D599" s="1" t="s">
        <v>400</v>
      </c>
      <c r="E599" s="2">
        <v>-0.0409532646373207</v>
      </c>
      <c r="F599" s="2">
        <v>0.0810554410622011</v>
      </c>
      <c r="G599" s="1">
        <v>1</v>
      </c>
    </row>
    <row r="600" spans="1:7">
      <c r="A600" s="1" t="s">
        <v>137</v>
      </c>
      <c r="B600" s="2">
        <v>0.0536819260877845</v>
      </c>
      <c r="C600" s="2">
        <v>0.0536819260877845</v>
      </c>
      <c r="D600" s="1" t="s">
        <v>399</v>
      </c>
      <c r="E600" s="2">
        <v>-0.0409532646373207</v>
      </c>
      <c r="F600" s="2">
        <v>0.0810554410622011</v>
      </c>
      <c r="G600" s="1">
        <v>1</v>
      </c>
    </row>
    <row r="601" spans="1:7">
      <c r="A601" s="1" t="s">
        <v>137</v>
      </c>
      <c r="B601" s="2">
        <v>0.0323266960346147</v>
      </c>
      <c r="C601" s="2">
        <v>0.0323266960346147</v>
      </c>
      <c r="D601" s="1" t="s">
        <v>399</v>
      </c>
      <c r="E601" s="2">
        <v>-0.0409532646373207</v>
      </c>
      <c r="F601" s="2">
        <v>0.0810554410622011</v>
      </c>
      <c r="G601" s="1">
        <v>1</v>
      </c>
    </row>
    <row r="602" spans="1:7">
      <c r="A602" s="1" t="s">
        <v>137</v>
      </c>
      <c r="B602" s="2">
        <v>0.02261298276</v>
      </c>
      <c r="C602" s="2">
        <v>0.02261298276</v>
      </c>
      <c r="D602" s="1" t="s">
        <v>399</v>
      </c>
      <c r="E602" s="2">
        <v>-0.0409532646373207</v>
      </c>
      <c r="F602" s="2">
        <v>0.0810554410622011</v>
      </c>
      <c r="G602" s="1">
        <v>1</v>
      </c>
    </row>
    <row r="603" spans="1:7">
      <c r="A603" s="1" t="s">
        <v>137</v>
      </c>
      <c r="B603" s="2">
        <v>0.0899668793904648</v>
      </c>
      <c r="C603" s="2">
        <v>0.0899668793904648</v>
      </c>
      <c r="D603" s="1" t="s">
        <v>400</v>
      </c>
      <c r="E603" s="2">
        <v>-0.0409532646373207</v>
      </c>
      <c r="F603" s="2">
        <v>0.0810554410622011</v>
      </c>
      <c r="G603" s="1">
        <v>1</v>
      </c>
    </row>
    <row r="604" spans="1:7">
      <c r="A604" s="1" t="s">
        <v>137</v>
      </c>
      <c r="B604" s="2">
        <v>0.0719284780825407</v>
      </c>
      <c r="C604" s="2">
        <v>0.0719284780825407</v>
      </c>
      <c r="D604" s="1" t="s">
        <v>399</v>
      </c>
      <c r="E604" s="2">
        <v>-0.0409532646373207</v>
      </c>
      <c r="F604" s="2">
        <v>0.0810554410622011</v>
      </c>
      <c r="G604" s="1">
        <v>1</v>
      </c>
    </row>
    <row r="605" spans="1:7">
      <c r="A605" s="1" t="s">
        <v>137</v>
      </c>
      <c r="B605" s="2">
        <v>0.0342264225769605</v>
      </c>
      <c r="C605" s="2">
        <v>0.0342264225769605</v>
      </c>
      <c r="D605" s="1" t="s">
        <v>399</v>
      </c>
      <c r="E605" s="2">
        <v>-0.0409532646373207</v>
      </c>
      <c r="F605" s="2">
        <v>0.0810554410622011</v>
      </c>
      <c r="G605" s="1">
        <v>1</v>
      </c>
    </row>
    <row r="606" spans="1:7">
      <c r="A606" s="1" t="s">
        <v>137</v>
      </c>
      <c r="B606" s="2">
        <v>0.121231889718242</v>
      </c>
      <c r="C606" s="2">
        <v>0.121231889718242</v>
      </c>
      <c r="D606" s="1" t="s">
        <v>400</v>
      </c>
      <c r="E606" s="2">
        <v>-0.0409532646373207</v>
      </c>
      <c r="F606" s="2">
        <v>0.0810554410622011</v>
      </c>
      <c r="G606" s="1">
        <v>1</v>
      </c>
    </row>
    <row r="607" spans="1:7">
      <c r="A607" s="1" t="s">
        <v>137</v>
      </c>
      <c r="B607" s="2">
        <v>0.0536708408950156</v>
      </c>
      <c r="C607" s="2">
        <v>0.0536708408950156</v>
      </c>
      <c r="D607" s="1" t="s">
        <v>399</v>
      </c>
      <c r="E607" s="2">
        <v>-0.0409532646373207</v>
      </c>
      <c r="F607" s="2">
        <v>0.0810554410622011</v>
      </c>
      <c r="G607" s="1">
        <v>1</v>
      </c>
    </row>
    <row r="608" spans="1:7">
      <c r="A608" s="1" t="s">
        <v>137</v>
      </c>
      <c r="B608" s="2">
        <v>0.0649964372865606</v>
      </c>
      <c r="C608" s="2">
        <v>0.0649964372865606</v>
      </c>
      <c r="D608" s="1" t="s">
        <v>399</v>
      </c>
      <c r="E608" s="2">
        <v>-0.0409532646373207</v>
      </c>
      <c r="F608" s="2">
        <v>0.0810554410622011</v>
      </c>
      <c r="G608" s="1">
        <v>1</v>
      </c>
    </row>
    <row r="609" spans="1:7">
      <c r="A609" s="1" t="s">
        <v>137</v>
      </c>
      <c r="B609" s="2">
        <v>0.0199292621445485</v>
      </c>
      <c r="C609" s="2">
        <v>0.0199292621445485</v>
      </c>
      <c r="D609" s="1" t="s">
        <v>399</v>
      </c>
      <c r="E609" s="2">
        <v>-0.0409532646373207</v>
      </c>
      <c r="F609" s="2">
        <v>0.0810554410622011</v>
      </c>
      <c r="G609" s="1">
        <v>1</v>
      </c>
    </row>
    <row r="610" spans="1:7">
      <c r="A610" s="1" t="s">
        <v>137</v>
      </c>
      <c r="B610" s="2">
        <v>0.0109658951106882</v>
      </c>
      <c r="C610" s="2">
        <v>0.0109658951106882</v>
      </c>
      <c r="D610" s="1" t="s">
        <v>399</v>
      </c>
      <c r="E610" s="2">
        <v>-0.0409532646373207</v>
      </c>
      <c r="F610" s="2">
        <v>0.0810554410622011</v>
      </c>
      <c r="G610" s="1">
        <v>1</v>
      </c>
    </row>
    <row r="611" spans="1:7">
      <c r="A611" s="1" t="s">
        <v>137</v>
      </c>
      <c r="B611" s="2">
        <v>0.0106197426102333</v>
      </c>
      <c r="C611" s="2">
        <v>0.0106197426102333</v>
      </c>
      <c r="D611" s="1" t="s">
        <v>399</v>
      </c>
      <c r="E611" s="2">
        <v>-0.0409532646373207</v>
      </c>
      <c r="F611" s="2">
        <v>0.0810554410622011</v>
      </c>
      <c r="G611" s="1">
        <v>1</v>
      </c>
    </row>
    <row r="612" spans="1:7">
      <c r="A612" s="1" t="s">
        <v>137</v>
      </c>
      <c r="B612" s="2">
        <v>0.01915132523336</v>
      </c>
      <c r="C612" s="2">
        <v>0.01915132523336</v>
      </c>
      <c r="D612" s="1" t="s">
        <v>399</v>
      </c>
      <c r="E612" s="2">
        <v>-0.0409532646373207</v>
      </c>
      <c r="F612" s="2">
        <v>0.0810554410622011</v>
      </c>
      <c r="G612" s="1">
        <v>1</v>
      </c>
    </row>
    <row r="613" spans="1:7">
      <c r="A613" s="1" t="s">
        <v>137</v>
      </c>
      <c r="B613" s="2">
        <v>0.025973749223476</v>
      </c>
      <c r="C613" s="2">
        <v>0.025973749223476</v>
      </c>
      <c r="D613" s="1" t="s">
        <v>399</v>
      </c>
      <c r="E613" s="2">
        <v>-0.0409532646373207</v>
      </c>
      <c r="F613" s="2">
        <v>0.0810554410622011</v>
      </c>
      <c r="G613" s="1">
        <v>1</v>
      </c>
    </row>
    <row r="614" spans="1:7">
      <c r="A614" s="1" t="s">
        <v>137</v>
      </c>
      <c r="B614" s="2">
        <v>0.028445510628935</v>
      </c>
      <c r="C614" s="2">
        <v>0.028445510628935</v>
      </c>
      <c r="D614" s="1" t="s">
        <v>399</v>
      </c>
      <c r="E614" s="2">
        <v>-0.0409532646373207</v>
      </c>
      <c r="F614" s="2">
        <v>0.0810554410622011</v>
      </c>
      <c r="G614" s="1">
        <v>1</v>
      </c>
    </row>
    <row r="615" spans="1:7">
      <c r="A615" s="1" t="s">
        <v>137</v>
      </c>
      <c r="B615" s="2">
        <v>0.00671232242265566</v>
      </c>
      <c r="C615" s="2">
        <v>0.00671232242265566</v>
      </c>
      <c r="D615" s="1" t="s">
        <v>399</v>
      </c>
      <c r="E615" s="2">
        <v>-0.0409532646373207</v>
      </c>
      <c r="F615" s="2">
        <v>0.0810554410622011</v>
      </c>
      <c r="G615" s="1">
        <v>1</v>
      </c>
    </row>
    <row r="616" spans="1:7">
      <c r="A616" s="1" t="s">
        <v>137</v>
      </c>
      <c r="B616" s="2">
        <v>0.00513761246164701</v>
      </c>
      <c r="C616" s="2">
        <v>0.00513761246164701</v>
      </c>
      <c r="D616" s="1" t="s">
        <v>399</v>
      </c>
      <c r="E616" s="2">
        <v>-0.0409532646373207</v>
      </c>
      <c r="F616" s="2">
        <v>0.0810554410622011</v>
      </c>
      <c r="G616" s="1">
        <v>1</v>
      </c>
    </row>
    <row r="617" spans="1:7">
      <c r="A617" s="1" t="s">
        <v>137</v>
      </c>
      <c r="B617" s="2">
        <v>0.00747489532707865</v>
      </c>
      <c r="C617" s="2">
        <v>0.00747489532707865</v>
      </c>
      <c r="D617" s="1" t="s">
        <v>399</v>
      </c>
      <c r="E617" s="2">
        <v>-0.0409532646373207</v>
      </c>
      <c r="F617" s="2">
        <v>0.0810554410622011</v>
      </c>
      <c r="G617" s="1">
        <v>1</v>
      </c>
    </row>
    <row r="618" spans="1:7">
      <c r="A618" s="1" t="s">
        <v>137</v>
      </c>
      <c r="B618" s="2">
        <v>0.126723952761283</v>
      </c>
      <c r="C618" s="2">
        <v>0.126723952761283</v>
      </c>
      <c r="D618" s="1" t="s">
        <v>400</v>
      </c>
      <c r="E618" s="2">
        <v>-0.0409532646373207</v>
      </c>
      <c r="F618" s="2">
        <v>0.0810554410622011</v>
      </c>
      <c r="G618" s="1">
        <v>1</v>
      </c>
    </row>
    <row r="619" spans="1:7">
      <c r="A619" s="1" t="s">
        <v>137</v>
      </c>
      <c r="B619" s="2">
        <v>0.0103058957044113</v>
      </c>
      <c r="C619" s="2">
        <v>0.0103058957044113</v>
      </c>
      <c r="D619" s="1" t="s">
        <v>399</v>
      </c>
      <c r="E619" s="2">
        <v>-0.0409532646373207</v>
      </c>
      <c r="F619" s="2">
        <v>0.0810554410622011</v>
      </c>
      <c r="G619" s="1">
        <v>1</v>
      </c>
    </row>
    <row r="620" spans="1:7">
      <c r="A620" s="1" t="s">
        <v>137</v>
      </c>
      <c r="B620" s="2">
        <v>0.0177753814755643</v>
      </c>
      <c r="C620" s="2">
        <v>0.0177753814755643</v>
      </c>
      <c r="D620" s="1" t="s">
        <v>399</v>
      </c>
      <c r="E620" s="2">
        <v>-0.0409532646373207</v>
      </c>
      <c r="F620" s="2">
        <v>0.0810554410622011</v>
      </c>
      <c r="G620" s="1">
        <v>1</v>
      </c>
    </row>
    <row r="621" spans="1:7">
      <c r="A621" s="1" t="s">
        <v>137</v>
      </c>
      <c r="B621" s="2">
        <v>0.0153479963672457</v>
      </c>
      <c r="C621" s="2">
        <v>0.0153479963672457</v>
      </c>
      <c r="D621" s="1" t="s">
        <v>399</v>
      </c>
      <c r="E621" s="2">
        <v>-0.0409532646373207</v>
      </c>
      <c r="F621" s="2">
        <v>0.0810554410622011</v>
      </c>
      <c r="G621" s="1">
        <v>1</v>
      </c>
    </row>
    <row r="622" spans="1:7">
      <c r="A622" s="1" t="s">
        <v>137</v>
      </c>
      <c r="B622" s="2">
        <v>0.0252879807354067</v>
      </c>
      <c r="C622" s="2">
        <v>0.0252879807354067</v>
      </c>
      <c r="D622" s="1" t="s">
        <v>399</v>
      </c>
      <c r="E622" s="2">
        <v>-0.0409532646373207</v>
      </c>
      <c r="F622" s="2">
        <v>0.0810554410622011</v>
      </c>
      <c r="G622" s="1">
        <v>1</v>
      </c>
    </row>
    <row r="623" spans="1:7">
      <c r="A623" s="1" t="s">
        <v>137</v>
      </c>
      <c r="B623" s="2">
        <v>0.0567639681538609</v>
      </c>
      <c r="C623" s="2">
        <v>0.0567639681538609</v>
      </c>
      <c r="D623" s="1" t="s">
        <v>399</v>
      </c>
      <c r="E623" s="2">
        <v>-0.0409532646373207</v>
      </c>
      <c r="F623" s="2">
        <v>0.0810554410622011</v>
      </c>
      <c r="G623" s="1">
        <v>1</v>
      </c>
    </row>
    <row r="624" spans="1:7">
      <c r="A624" s="1" t="s">
        <v>137</v>
      </c>
      <c r="B624" s="2">
        <v>0.0119735188811035</v>
      </c>
      <c r="C624" s="2">
        <v>0.0119735188811035</v>
      </c>
      <c r="D624" s="1" t="s">
        <v>399</v>
      </c>
      <c r="E624" s="2">
        <v>-0.0409532646373207</v>
      </c>
      <c r="F624" s="2">
        <v>0.0810554410622011</v>
      </c>
      <c r="G624" s="1">
        <v>1</v>
      </c>
    </row>
    <row r="625" spans="1:7">
      <c r="A625" s="1" t="s">
        <v>137</v>
      </c>
      <c r="B625" s="2">
        <v>0.0113261123062454</v>
      </c>
      <c r="C625" s="2">
        <v>0.0113261123062454</v>
      </c>
      <c r="D625" s="1" t="s">
        <v>399</v>
      </c>
      <c r="E625" s="2">
        <v>-0.0409532646373207</v>
      </c>
      <c r="F625" s="2">
        <v>0.0810554410622011</v>
      </c>
      <c r="G625" s="1">
        <v>1</v>
      </c>
    </row>
    <row r="626" spans="1:7">
      <c r="A626" s="1" t="s">
        <v>137</v>
      </c>
      <c r="B626" s="2">
        <v>0.0023</v>
      </c>
      <c r="C626" s="2">
        <v>0.0023</v>
      </c>
      <c r="D626" s="1" t="s">
        <v>399</v>
      </c>
      <c r="E626" s="2">
        <v>-0.0409532646373207</v>
      </c>
      <c r="F626" s="2">
        <v>0.0810554410622011</v>
      </c>
    </row>
    <row r="627" spans="1:7">
      <c r="A627" s="1" t="s">
        <v>137</v>
      </c>
      <c r="B627" s="2">
        <v>0.00436688881094353</v>
      </c>
      <c r="C627" s="2">
        <v>0.00436688881094353</v>
      </c>
      <c r="D627" s="1" t="s">
        <v>399</v>
      </c>
      <c r="E627" s="2">
        <v>-0.0409532646373207</v>
      </c>
      <c r="F627" s="2">
        <v>0.0810554410622011</v>
      </c>
    </row>
    <row r="628" spans="1:7">
      <c r="A628" s="1" t="s">
        <v>137</v>
      </c>
      <c r="B628" s="2">
        <v>0.0353794139744553</v>
      </c>
      <c r="C628" s="2">
        <v>0.0353794139744553</v>
      </c>
      <c r="D628" s="1" t="s">
        <v>399</v>
      </c>
      <c r="E628" s="2">
        <v>-0.0409532646373207</v>
      </c>
      <c r="F628" s="2">
        <v>0.0810554410622011</v>
      </c>
    </row>
    <row r="629" spans="1:7">
      <c r="A629" s="1" t="s">
        <v>137</v>
      </c>
      <c r="B629" s="2">
        <v>0.0102167236992191</v>
      </c>
      <c r="C629" s="2">
        <v>0.0102167236992191</v>
      </c>
      <c r="D629" s="1" t="s">
        <v>399</v>
      </c>
      <c r="E629" s="2">
        <v>-0.0409532646373207</v>
      </c>
      <c r="F629" s="2">
        <v>0.0810554410622011</v>
      </c>
    </row>
    <row r="630" spans="1:7">
      <c r="A630" s="1" t="s">
        <v>137</v>
      </c>
      <c r="B630" s="2">
        <v>0.013654309099663</v>
      </c>
      <c r="C630" s="2">
        <v>0.013654309099663</v>
      </c>
      <c r="D630" s="1" t="s">
        <v>399</v>
      </c>
      <c r="E630" s="2">
        <v>-0.0409532646373207</v>
      </c>
      <c r="F630" s="2">
        <v>0.0810554410622011</v>
      </c>
    </row>
    <row r="631" spans="1:7">
      <c r="A631" s="1" t="s">
        <v>137</v>
      </c>
      <c r="B631" s="2">
        <v>0.00696465696465697</v>
      </c>
      <c r="C631" s="2">
        <v>0.00696465696465697</v>
      </c>
      <c r="D631" s="1" t="s">
        <v>399</v>
      </c>
      <c r="E631" s="2">
        <v>-0.0409532646373207</v>
      </c>
      <c r="F631" s="2">
        <v>0.0810554410622011</v>
      </c>
    </row>
    <row r="632" spans="1:7">
      <c r="A632" s="1" t="s">
        <v>137</v>
      </c>
      <c r="B632" s="2">
        <v>0.00881317781870268</v>
      </c>
      <c r="C632" s="2">
        <v>0.00881317781870268</v>
      </c>
      <c r="D632" s="1" t="s">
        <v>399</v>
      </c>
      <c r="E632" s="2">
        <v>-0.0409532646373207</v>
      </c>
      <c r="F632" s="2">
        <v>0.0810554410622011</v>
      </c>
    </row>
    <row r="633" spans="1:7">
      <c r="A633" s="1" t="s">
        <v>137</v>
      </c>
      <c r="B633" s="2">
        <v>0.0141865630205441</v>
      </c>
      <c r="C633" s="2">
        <v>0.0141865630205441</v>
      </c>
      <c r="D633" s="1" t="s">
        <v>399</v>
      </c>
      <c r="E633" s="2">
        <v>-0.0409532646373207</v>
      </c>
      <c r="F633" s="2">
        <v>0.0810554410622011</v>
      </c>
    </row>
    <row r="634" spans="1:7">
      <c r="A634" s="1" t="s">
        <v>137</v>
      </c>
      <c r="B634" s="2">
        <v>0.0213232231779086</v>
      </c>
      <c r="C634" s="2">
        <v>0.0213232231779086</v>
      </c>
      <c r="D634" s="1" t="s">
        <v>399</v>
      </c>
      <c r="E634" s="2">
        <v>-0.0409532646373207</v>
      </c>
      <c r="F634" s="2">
        <v>0.0810554410622011</v>
      </c>
    </row>
    <row r="635" spans="1:7">
      <c r="A635" s="1" t="s">
        <v>137</v>
      </c>
      <c r="B635" s="2">
        <v>0.0318520408163265</v>
      </c>
      <c r="C635" s="2">
        <v>0.0318520408163265</v>
      </c>
      <c r="D635" s="1" t="s">
        <v>399</v>
      </c>
      <c r="E635" s="2">
        <v>-0.0409532646373207</v>
      </c>
      <c r="F635" s="2">
        <v>0.0810554410622011</v>
      </c>
    </row>
    <row r="636" spans="1:7">
      <c r="A636" s="1" t="s">
        <v>137</v>
      </c>
      <c r="B636" s="2">
        <v>0.0286993006993007</v>
      </c>
      <c r="C636" s="2">
        <v>0.0286993006993007</v>
      </c>
      <c r="D636" s="1" t="s">
        <v>399</v>
      </c>
      <c r="E636" s="2">
        <v>-0.0409532646373207</v>
      </c>
      <c r="F636" s="2">
        <v>0.0810554410622011</v>
      </c>
    </row>
    <row r="637" spans="1:7">
      <c r="A637" s="1" t="s">
        <v>137</v>
      </c>
      <c r="B637" s="2">
        <v>0.0352249388753056</v>
      </c>
      <c r="C637" s="2">
        <v>0.0352249388753056</v>
      </c>
      <c r="D637" s="1" t="s">
        <v>399</v>
      </c>
      <c r="E637" s="2">
        <v>-0.0409532646373207</v>
      </c>
      <c r="F637" s="2">
        <v>0.0810554410622011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78"/>
  <sheetViews>
    <sheetView workbookViewId="0">
      <selection activeCell="F12" sqref="F12"/>
    </sheetView>
  </sheetViews>
  <sheetFormatPr defaultColWidth="9" defaultRowHeight="15"/>
  <cols>
    <col min="1" max="1" width="13.75" style="1" customWidth="1"/>
    <col min="2" max="2" width="7.875" style="2" customWidth="1"/>
    <col min="3" max="3" width="4.375" style="1" customWidth="1"/>
    <col min="4" max="4" width="17.5" style="2" customWidth="1"/>
    <col min="5" max="5" width="24.75" style="2" customWidth="1"/>
    <col min="6" max="6" width="13.625" style="1" customWidth="1"/>
    <col min="7" max="7" width="13.375" style="2" customWidth="1"/>
    <col min="8" max="8" width="13.25" style="2" customWidth="1"/>
    <col min="9" max="9" width="34.625" style="1" customWidth="1"/>
    <col min="10" max="16384" width="9" style="3"/>
  </cols>
  <sheetData>
    <row r="1" spans="1:9">
      <c r="A1" s="4" t="s">
        <v>397</v>
      </c>
      <c r="B1" s="5" t="s">
        <v>101</v>
      </c>
      <c r="C1" s="4" t="s">
        <v>60</v>
      </c>
      <c r="D1" s="5" t="s">
        <v>104</v>
      </c>
      <c r="E1" s="5" t="s">
        <v>106</v>
      </c>
      <c r="F1" s="4" t="s">
        <v>92</v>
      </c>
      <c r="G1" s="5" t="s">
        <v>94</v>
      </c>
      <c r="H1" s="5" t="s">
        <v>96</v>
      </c>
      <c r="I1" s="6" t="s">
        <v>98</v>
      </c>
    </row>
    <row r="2" spans="1:9">
      <c r="A2" s="1" t="s">
        <v>117</v>
      </c>
      <c r="B2" s="2">
        <v>0.036</v>
      </c>
      <c r="C2" s="1" t="s">
        <v>110</v>
      </c>
      <c r="D2" s="2">
        <v>0.992403236892688</v>
      </c>
      <c r="E2" s="2">
        <v>0.0362755769647825</v>
      </c>
      <c r="F2" s="1" t="s">
        <v>399</v>
      </c>
      <c r="G2" s="2">
        <v>-1.14230280379727</v>
      </c>
      <c r="H2" s="2">
        <v>2.05579236761459</v>
      </c>
    </row>
    <row r="3" spans="1:9">
      <c r="A3" s="1" t="s">
        <v>137</v>
      </c>
      <c r="B3" s="2">
        <v>0.16</v>
      </c>
      <c r="C3" s="1" t="s">
        <v>110</v>
      </c>
      <c r="D3" s="2">
        <v>0.898085980559174</v>
      </c>
      <c r="E3" s="2">
        <v>0.178156661459496</v>
      </c>
      <c r="F3" s="1" t="s">
        <v>399</v>
      </c>
      <c r="G3" s="2">
        <v>-1.69456803813426</v>
      </c>
      <c r="H3" s="2">
        <v>3.02474082288056</v>
      </c>
    </row>
    <row r="4" spans="1:9">
      <c r="A4" s="1" t="s">
        <v>137</v>
      </c>
      <c r="B4" s="2">
        <v>0.6</v>
      </c>
      <c r="C4" s="1" t="s">
        <v>110</v>
      </c>
      <c r="D4" s="2">
        <v>0.898085980559174</v>
      </c>
      <c r="E4" s="2">
        <v>0.668087480473109</v>
      </c>
      <c r="F4" s="1" t="s">
        <v>399</v>
      </c>
      <c r="G4" s="2">
        <v>-1.69456803813426</v>
      </c>
      <c r="H4" s="2">
        <v>3.02474082288056</v>
      </c>
    </row>
    <row r="5" spans="1:9">
      <c r="A5" s="1" t="s">
        <v>137</v>
      </c>
      <c r="B5" s="2">
        <v>0.03</v>
      </c>
      <c r="C5" s="1" t="s">
        <v>110</v>
      </c>
      <c r="D5" s="2">
        <v>0.898085980559174</v>
      </c>
      <c r="E5" s="2">
        <v>0.0334043740236555</v>
      </c>
      <c r="F5" s="1" t="s">
        <v>399</v>
      </c>
      <c r="G5" s="2">
        <v>-1.69456803813426</v>
      </c>
      <c r="H5" s="2">
        <v>3.02474082288056</v>
      </c>
    </row>
    <row r="6" spans="1:9">
      <c r="A6" s="1" t="s">
        <v>137</v>
      </c>
      <c r="B6" s="2">
        <v>0.01</v>
      </c>
      <c r="C6" s="1" t="s">
        <v>110</v>
      </c>
      <c r="D6" s="2">
        <v>0.898085980559174</v>
      </c>
      <c r="E6" s="2">
        <v>0.0111347913412185</v>
      </c>
      <c r="F6" s="1" t="s">
        <v>399</v>
      </c>
      <c r="G6" s="2">
        <v>-1.69456803813426</v>
      </c>
      <c r="H6" s="2">
        <v>3.02474082288056</v>
      </c>
    </row>
    <row r="7" spans="1:9">
      <c r="A7" s="1" t="s">
        <v>184</v>
      </c>
      <c r="B7" s="2">
        <v>0.07</v>
      </c>
      <c r="C7" s="1" t="s">
        <v>110</v>
      </c>
      <c r="D7" s="2">
        <v>0.865259126364145</v>
      </c>
      <c r="E7" s="2">
        <v>0.0809006202501936</v>
      </c>
      <c r="F7" s="1" t="s">
        <v>399</v>
      </c>
      <c r="G7" s="2">
        <v>-1.4516067198867</v>
      </c>
      <c r="H7" s="2">
        <v>2.47096403193202</v>
      </c>
    </row>
    <row r="8" spans="1:9">
      <c r="A8" s="1" t="s">
        <v>184</v>
      </c>
      <c r="B8" s="2">
        <v>0.06</v>
      </c>
      <c r="C8" s="1" t="s">
        <v>110</v>
      </c>
      <c r="D8" s="2">
        <v>0.865259126364145</v>
      </c>
      <c r="E8" s="2">
        <v>0.0693433887858803</v>
      </c>
      <c r="F8" s="1" t="s">
        <v>399</v>
      </c>
      <c r="G8" s="2">
        <v>-1.4516067198867</v>
      </c>
      <c r="H8" s="2">
        <v>2.47096403193202</v>
      </c>
    </row>
    <row r="9" spans="1:9">
      <c r="A9" s="1" t="s">
        <v>154</v>
      </c>
      <c r="B9" s="2">
        <v>0.03</v>
      </c>
      <c r="C9" s="1" t="s">
        <v>110</v>
      </c>
      <c r="D9" s="2">
        <v>0.945470448484017</v>
      </c>
      <c r="E9" s="2">
        <v>0.0317302355119639</v>
      </c>
      <c r="F9" s="1" t="s">
        <v>399</v>
      </c>
      <c r="G9" s="2">
        <v>-0.371903263198752</v>
      </c>
      <c r="H9" s="2">
        <v>0.767296975436132</v>
      </c>
    </row>
    <row r="10" spans="1:9">
      <c r="A10" s="1" t="s">
        <v>108</v>
      </c>
      <c r="B10" s="2">
        <v>0.4</v>
      </c>
      <c r="C10" s="1" t="s">
        <v>110</v>
      </c>
      <c r="D10" s="2">
        <v>0.898121804798333</v>
      </c>
      <c r="E10" s="2">
        <v>0.445373887887977</v>
      </c>
      <c r="F10" s="1" t="s">
        <v>399</v>
      </c>
      <c r="G10" s="2">
        <v>-1.27893237109756</v>
      </c>
      <c r="H10" s="2">
        <v>2.27292642078765</v>
      </c>
    </row>
    <row r="11" spans="1:9">
      <c r="A11" s="1" t="s">
        <v>108</v>
      </c>
      <c r="B11" s="2">
        <v>0.41</v>
      </c>
      <c r="C11" s="1" t="s">
        <v>110</v>
      </c>
      <c r="D11" s="2">
        <v>0.898121804798333</v>
      </c>
      <c r="E11" s="2">
        <v>0.456508235085176</v>
      </c>
      <c r="F11" s="1" t="s">
        <v>399</v>
      </c>
      <c r="G11" s="2">
        <v>-1.27893237109756</v>
      </c>
      <c r="H11" s="2">
        <v>2.27292642078765</v>
      </c>
    </row>
    <row r="12" spans="1:9">
      <c r="A12" s="1" t="s">
        <v>108</v>
      </c>
      <c r="B12" s="2">
        <v>1.5</v>
      </c>
      <c r="C12" s="1" t="s">
        <v>110</v>
      </c>
      <c r="D12" s="2">
        <v>0.898121804798333</v>
      </c>
      <c r="E12" s="2">
        <v>1.67015207957991</v>
      </c>
      <c r="F12" s="1" t="s">
        <v>399</v>
      </c>
      <c r="G12" s="2">
        <v>-1.27893237109756</v>
      </c>
      <c r="H12" s="2">
        <v>2.27292642078765</v>
      </c>
    </row>
    <row r="13" spans="1:9">
      <c r="A13" s="1" t="s">
        <v>108</v>
      </c>
      <c r="B13" s="2">
        <v>0.09</v>
      </c>
      <c r="C13" s="1" t="s">
        <v>110</v>
      </c>
      <c r="D13" s="2">
        <v>0.898121804798333</v>
      </c>
      <c r="E13" s="2">
        <v>0.100209124774795</v>
      </c>
      <c r="F13" s="1" t="s">
        <v>399</v>
      </c>
      <c r="G13" s="2">
        <v>-1.27893237109756</v>
      </c>
      <c r="H13" s="2">
        <v>2.27292642078765</v>
      </c>
    </row>
    <row r="14" spans="1:9">
      <c r="A14" s="1" t="s">
        <v>108</v>
      </c>
      <c r="B14" s="2">
        <v>0.18</v>
      </c>
      <c r="C14" s="1" t="s">
        <v>110</v>
      </c>
      <c r="D14" s="2">
        <v>0.898121804798333</v>
      </c>
      <c r="E14" s="2">
        <v>0.20041824954959</v>
      </c>
      <c r="F14" s="1" t="s">
        <v>399</v>
      </c>
      <c r="G14" s="2">
        <v>-1.27893237109756</v>
      </c>
      <c r="H14" s="2">
        <v>2.27292642078765</v>
      </c>
    </row>
    <row r="15" spans="1:9">
      <c r="A15" s="1" t="s">
        <v>108</v>
      </c>
      <c r="B15" s="2">
        <v>1.8</v>
      </c>
      <c r="C15" s="1" t="s">
        <v>110</v>
      </c>
      <c r="D15" s="2">
        <v>0.898121804798333</v>
      </c>
      <c r="E15" s="2">
        <v>2.0041824954959</v>
      </c>
      <c r="F15" s="1" t="s">
        <v>399</v>
      </c>
      <c r="G15" s="2">
        <v>-1.27893237109756</v>
      </c>
      <c r="H15" s="2">
        <v>2.27292642078765</v>
      </c>
    </row>
    <row r="16" spans="1:9">
      <c r="A16" s="1" t="s">
        <v>137</v>
      </c>
      <c r="B16" s="2">
        <v>1.6</v>
      </c>
      <c r="C16" s="1" t="s">
        <v>110</v>
      </c>
      <c r="D16" s="2">
        <v>0.898085980559174</v>
      </c>
      <c r="E16" s="2">
        <v>1.78156661459496</v>
      </c>
      <c r="F16" s="1" t="s">
        <v>399</v>
      </c>
      <c r="G16" s="2">
        <v>-1.69456803813426</v>
      </c>
      <c r="H16" s="2">
        <v>3.02474082288056</v>
      </c>
    </row>
    <row r="17" spans="1:8">
      <c r="A17" s="1" t="s">
        <v>137</v>
      </c>
      <c r="B17" s="2">
        <v>0.62</v>
      </c>
      <c r="C17" s="1" t="s">
        <v>110</v>
      </c>
      <c r="D17" s="2">
        <v>0.898085980559174</v>
      </c>
      <c r="E17" s="2">
        <v>0.690357063155546</v>
      </c>
      <c r="F17" s="1" t="s">
        <v>399</v>
      </c>
      <c r="G17" s="2">
        <v>-1.69456803813426</v>
      </c>
      <c r="H17" s="2">
        <v>3.02474082288056</v>
      </c>
    </row>
    <row r="18" spans="1:8">
      <c r="A18" s="1" t="s">
        <v>137</v>
      </c>
      <c r="B18" s="2">
        <v>0.62</v>
      </c>
      <c r="C18" s="1" t="s">
        <v>110</v>
      </c>
      <c r="D18" s="2">
        <v>0.898085980559174</v>
      </c>
      <c r="E18" s="2">
        <v>0.690357063155546</v>
      </c>
      <c r="F18" s="1" t="s">
        <v>399</v>
      </c>
      <c r="G18" s="2">
        <v>-1.69456803813426</v>
      </c>
      <c r="H18" s="2">
        <v>3.02474082288056</v>
      </c>
    </row>
    <row r="19" spans="1:8">
      <c r="A19" s="1" t="s">
        <v>137</v>
      </c>
      <c r="B19" s="2">
        <v>0.05</v>
      </c>
      <c r="C19" s="1" t="s">
        <v>110</v>
      </c>
      <c r="D19" s="2">
        <v>0.898085980559174</v>
      </c>
      <c r="E19" s="2">
        <v>0.0556739567060924</v>
      </c>
      <c r="F19" s="1" t="s">
        <v>399</v>
      </c>
      <c r="G19" s="2">
        <v>-1.69456803813426</v>
      </c>
      <c r="H19" s="2">
        <v>3.02474082288056</v>
      </c>
    </row>
    <row r="20" spans="1:8">
      <c r="A20" s="1" t="s">
        <v>126</v>
      </c>
      <c r="B20" s="2">
        <v>0.68649885583524</v>
      </c>
      <c r="C20" s="1" t="s">
        <v>110</v>
      </c>
      <c r="D20" s="2">
        <v>0.911358608023812</v>
      </c>
      <c r="E20" s="2">
        <v>0.753269733550707</v>
      </c>
      <c r="F20" s="1" t="s">
        <v>399</v>
      </c>
      <c r="G20" s="2">
        <v>-2.41700054652004</v>
      </c>
      <c r="H20" s="2">
        <v>4.24620837687132</v>
      </c>
    </row>
    <row r="21" spans="1:8">
      <c r="A21" s="1" t="s">
        <v>126</v>
      </c>
      <c r="B21" s="2">
        <v>0.0497645072425131</v>
      </c>
      <c r="C21" s="1" t="s">
        <v>110</v>
      </c>
      <c r="D21" s="2">
        <v>0.911358608023812</v>
      </c>
      <c r="E21" s="2">
        <v>0.054604748124805</v>
      </c>
      <c r="F21" s="1" t="s">
        <v>399</v>
      </c>
      <c r="G21" s="2">
        <v>-2.41700054652004</v>
      </c>
      <c r="H21" s="2">
        <v>4.24620837687132</v>
      </c>
    </row>
    <row r="22" spans="1:8">
      <c r="A22" s="1" t="s">
        <v>126</v>
      </c>
      <c r="B22" s="2">
        <v>0.0601839509464143</v>
      </c>
      <c r="C22" s="1" t="s">
        <v>110</v>
      </c>
      <c r="D22" s="2">
        <v>0.911358608023812</v>
      </c>
      <c r="E22" s="2">
        <v>0.066037617263436</v>
      </c>
      <c r="F22" s="1" t="s">
        <v>399</v>
      </c>
      <c r="G22" s="2">
        <v>-2.41700054652004</v>
      </c>
      <c r="H22" s="2">
        <v>4.24620837687132</v>
      </c>
    </row>
    <row r="23" spans="1:8">
      <c r="A23" s="1" t="s">
        <v>126</v>
      </c>
      <c r="B23" s="2">
        <v>0.0769794721407625</v>
      </c>
      <c r="C23" s="1" t="s">
        <v>110</v>
      </c>
      <c r="D23" s="2">
        <v>0.911358608023812</v>
      </c>
      <c r="E23" s="2">
        <v>0.0844667197555577</v>
      </c>
      <c r="F23" s="1" t="s">
        <v>399</v>
      </c>
      <c r="G23" s="2">
        <v>-2.41700054652004</v>
      </c>
      <c r="H23" s="2">
        <v>4.24620837687132</v>
      </c>
    </row>
    <row r="24" spans="1:8">
      <c r="A24" s="1" t="s">
        <v>112</v>
      </c>
      <c r="B24" s="2">
        <v>0.627</v>
      </c>
      <c r="C24" s="1" t="s">
        <v>110</v>
      </c>
      <c r="D24" s="2">
        <v>0.995980980414355</v>
      </c>
      <c r="E24" s="2">
        <v>0.629530093776641</v>
      </c>
      <c r="F24" s="1" t="s">
        <v>399</v>
      </c>
      <c r="G24" s="2">
        <v>-3.3755808488784</v>
      </c>
      <c r="H24" s="2">
        <v>6.82112077050964</v>
      </c>
    </row>
    <row r="25" spans="1:8">
      <c r="A25" s="1" t="s">
        <v>112</v>
      </c>
      <c r="B25" s="2">
        <v>0.3895</v>
      </c>
      <c r="C25" s="1" t="s">
        <v>110</v>
      </c>
      <c r="D25" s="2">
        <v>0.995980980414355</v>
      </c>
      <c r="E25" s="2">
        <v>0.391071724921853</v>
      </c>
      <c r="F25" s="1" t="s">
        <v>399</v>
      </c>
      <c r="G25" s="2">
        <v>-3.3755808488784</v>
      </c>
      <c r="H25" s="2">
        <v>6.82112077050964</v>
      </c>
    </row>
    <row r="26" spans="1:8">
      <c r="A26" s="1" t="s">
        <v>112</v>
      </c>
      <c r="B26" s="2">
        <v>0.5605</v>
      </c>
      <c r="C26" s="1" t="s">
        <v>110</v>
      </c>
      <c r="D26" s="2">
        <v>0.995980980414355</v>
      </c>
      <c r="E26" s="2">
        <v>0.5627617504973</v>
      </c>
      <c r="F26" s="1" t="s">
        <v>399</v>
      </c>
      <c r="G26" s="2">
        <v>-3.3755808488784</v>
      </c>
      <c r="H26" s="2">
        <v>6.82112077050964</v>
      </c>
    </row>
    <row r="27" spans="1:8">
      <c r="A27" s="1" t="s">
        <v>112</v>
      </c>
      <c r="B27" s="2">
        <v>0.38</v>
      </c>
      <c r="C27" s="1" t="s">
        <v>110</v>
      </c>
      <c r="D27" s="2">
        <v>0.995980980414355</v>
      </c>
      <c r="E27" s="2">
        <v>0.381533390167661</v>
      </c>
      <c r="F27" s="1" t="s">
        <v>399</v>
      </c>
      <c r="G27" s="2">
        <v>-3.3755808488784</v>
      </c>
      <c r="H27" s="2">
        <v>6.82112077050964</v>
      </c>
    </row>
    <row r="28" spans="1:8">
      <c r="A28" s="1" t="s">
        <v>112</v>
      </c>
      <c r="B28" s="2">
        <v>1.0925</v>
      </c>
      <c r="C28" s="1" t="s">
        <v>110</v>
      </c>
      <c r="D28" s="2">
        <v>0.995980980414355</v>
      </c>
      <c r="E28" s="2">
        <v>1.09690849673203</v>
      </c>
      <c r="F28" s="1" t="s">
        <v>399</v>
      </c>
      <c r="G28" s="2">
        <v>-3.3755808488784</v>
      </c>
      <c r="H28" s="2">
        <v>6.82112077050964</v>
      </c>
    </row>
    <row r="29" spans="1:8">
      <c r="A29" s="1" t="s">
        <v>112</v>
      </c>
      <c r="B29" s="2">
        <v>0.342</v>
      </c>
      <c r="C29" s="1" t="s">
        <v>110</v>
      </c>
      <c r="D29" s="2">
        <v>0.995980980414355</v>
      </c>
      <c r="E29" s="2">
        <v>0.343380051150895</v>
      </c>
      <c r="F29" s="1" t="s">
        <v>399</v>
      </c>
      <c r="G29" s="2">
        <v>-3.3755808488784</v>
      </c>
      <c r="H29" s="2">
        <v>6.82112077050964</v>
      </c>
    </row>
    <row r="30" spans="1:8">
      <c r="A30" s="1" t="s">
        <v>112</v>
      </c>
      <c r="B30" s="2">
        <v>2.546</v>
      </c>
      <c r="C30" s="1" t="s">
        <v>110</v>
      </c>
      <c r="D30" s="2">
        <v>0.995980980414355</v>
      </c>
      <c r="E30" s="2">
        <v>2.55627371412333</v>
      </c>
      <c r="F30" s="1" t="s">
        <v>399</v>
      </c>
      <c r="G30" s="2">
        <v>-3.3755808488784</v>
      </c>
      <c r="H30" s="2">
        <v>6.82112077050964</v>
      </c>
    </row>
    <row r="31" spans="1:8">
      <c r="A31" s="1" t="s">
        <v>112</v>
      </c>
      <c r="B31" s="2">
        <v>1.121</v>
      </c>
      <c r="C31" s="1" t="s">
        <v>110</v>
      </c>
      <c r="D31" s="2">
        <v>0.995980980414355</v>
      </c>
      <c r="E31" s="2">
        <v>1.1255235009946</v>
      </c>
      <c r="F31" s="1" t="s">
        <v>399</v>
      </c>
      <c r="G31" s="2">
        <v>-3.3755808488784</v>
      </c>
      <c r="H31" s="2">
        <v>6.82112077050964</v>
      </c>
    </row>
    <row r="32" spans="1:8">
      <c r="A32" s="1" t="s">
        <v>112</v>
      </c>
      <c r="B32" s="2">
        <v>1.083</v>
      </c>
      <c r="C32" s="1" t="s">
        <v>110</v>
      </c>
      <c r="D32" s="2">
        <v>0.995980980414355</v>
      </c>
      <c r="E32" s="2">
        <v>1.08737016197784</v>
      </c>
      <c r="F32" s="1" t="s">
        <v>399</v>
      </c>
      <c r="G32" s="2">
        <v>-3.3755808488784</v>
      </c>
      <c r="H32" s="2">
        <v>6.82112077050964</v>
      </c>
    </row>
    <row r="33" spans="1:8">
      <c r="A33" s="1" t="s">
        <v>112</v>
      </c>
      <c r="B33" s="2">
        <v>0.2375</v>
      </c>
      <c r="C33" s="1" t="s">
        <v>110</v>
      </c>
      <c r="D33" s="2">
        <v>0.995980980414355</v>
      </c>
      <c r="E33" s="2">
        <v>0.238458368854788</v>
      </c>
      <c r="F33" s="1" t="s">
        <v>399</v>
      </c>
      <c r="G33" s="2">
        <v>-3.3755808488784</v>
      </c>
      <c r="H33" s="2">
        <v>6.82112077050964</v>
      </c>
    </row>
    <row r="34" spans="1:8">
      <c r="A34" s="1" t="s">
        <v>112</v>
      </c>
      <c r="B34" s="2">
        <v>0.0475</v>
      </c>
      <c r="C34" s="1" t="s">
        <v>110</v>
      </c>
      <c r="D34" s="2">
        <v>0.995980980414355</v>
      </c>
      <c r="E34" s="2">
        <v>0.0476916737709577</v>
      </c>
      <c r="F34" s="1" t="s">
        <v>399</v>
      </c>
      <c r="G34" s="2">
        <v>-3.3755808488784</v>
      </c>
      <c r="H34" s="2">
        <v>6.82112077050964</v>
      </c>
    </row>
    <row r="35" spans="1:8">
      <c r="A35" s="1" t="s">
        <v>112</v>
      </c>
      <c r="B35" s="2">
        <v>0.133</v>
      </c>
      <c r="C35" s="1" t="s">
        <v>110</v>
      </c>
      <c r="D35" s="2">
        <v>0.995980980414355</v>
      </c>
      <c r="E35" s="2">
        <v>0.133536686558682</v>
      </c>
      <c r="F35" s="1" t="s">
        <v>399</v>
      </c>
      <c r="G35" s="2">
        <v>-3.3755808488784</v>
      </c>
      <c r="H35" s="2">
        <v>6.82112077050964</v>
      </c>
    </row>
    <row r="36" spans="1:8">
      <c r="A36" s="1" t="s">
        <v>137</v>
      </c>
      <c r="B36" s="2">
        <v>0.0394545454545455</v>
      </c>
      <c r="C36" s="1" t="s">
        <v>110</v>
      </c>
      <c r="D36" s="2">
        <v>0.898085980559174</v>
      </c>
      <c r="E36" s="2">
        <v>0.0439318131098984</v>
      </c>
      <c r="F36" s="1" t="s">
        <v>399</v>
      </c>
      <c r="G36" s="2">
        <v>-1.69456803813426</v>
      </c>
      <c r="H36" s="2">
        <v>3.02474082288056</v>
      </c>
    </row>
    <row r="37" spans="1:8">
      <c r="A37" s="1" t="s">
        <v>117</v>
      </c>
      <c r="B37" s="2">
        <v>0.855034045428557</v>
      </c>
      <c r="C37" s="1" t="s">
        <v>114</v>
      </c>
      <c r="D37" s="2">
        <v>0.992403236892688</v>
      </c>
      <c r="E37" s="2">
        <v>0.855034045428557</v>
      </c>
      <c r="F37" s="1" t="s">
        <v>399</v>
      </c>
      <c r="G37" s="2">
        <v>-1.14230280379727</v>
      </c>
      <c r="H37" s="2">
        <v>2.05579236761459</v>
      </c>
    </row>
    <row r="38" spans="1:8">
      <c r="A38" s="1" t="s">
        <v>112</v>
      </c>
      <c r="B38" s="2">
        <v>1.86396835057821</v>
      </c>
      <c r="C38" s="1" t="s">
        <v>114</v>
      </c>
      <c r="D38" s="2">
        <v>0.995980980414355</v>
      </c>
      <c r="E38" s="2">
        <v>1.86396835057821</v>
      </c>
      <c r="F38" s="1" t="s">
        <v>399</v>
      </c>
      <c r="G38" s="2">
        <v>-3.3755808488784</v>
      </c>
      <c r="H38" s="2">
        <v>6.82112077050964</v>
      </c>
    </row>
    <row r="39" spans="1:8">
      <c r="A39" s="1" t="s">
        <v>137</v>
      </c>
      <c r="B39" s="2">
        <v>0.190909090909091</v>
      </c>
      <c r="C39" s="1" t="s">
        <v>110</v>
      </c>
      <c r="D39" s="2">
        <v>0.898085980559174</v>
      </c>
      <c r="E39" s="2">
        <v>0.212573289241444</v>
      </c>
      <c r="F39" s="1" t="s">
        <v>399</v>
      </c>
      <c r="G39" s="2">
        <v>-1.69456803813426</v>
      </c>
      <c r="H39" s="2">
        <v>3.02474082288056</v>
      </c>
    </row>
    <row r="40" spans="1:8">
      <c r="A40" s="1" t="s">
        <v>184</v>
      </c>
      <c r="B40" s="2">
        <v>0.0356363636363636</v>
      </c>
      <c r="C40" s="1" t="s">
        <v>110</v>
      </c>
      <c r="D40" s="2">
        <v>0.865259126364145</v>
      </c>
      <c r="E40" s="2">
        <v>0.0411857703091894</v>
      </c>
      <c r="F40" s="1" t="s">
        <v>399</v>
      </c>
      <c r="G40" s="2">
        <v>-1.4516067198867</v>
      </c>
      <c r="H40" s="2">
        <v>2.47096403193202</v>
      </c>
    </row>
    <row r="41" spans="1:8">
      <c r="A41" s="1" t="s">
        <v>108</v>
      </c>
      <c r="B41" s="2">
        <v>0.0106909090909091</v>
      </c>
      <c r="C41" s="1" t="s">
        <v>110</v>
      </c>
      <c r="D41" s="2">
        <v>0.898121804798333</v>
      </c>
      <c r="E41" s="2">
        <v>0.0119036293671877</v>
      </c>
      <c r="F41" s="1" t="s">
        <v>399</v>
      </c>
      <c r="G41" s="2">
        <v>-1.27893237109756</v>
      </c>
      <c r="H41" s="2">
        <v>2.27292642078765</v>
      </c>
    </row>
    <row r="42" spans="1:8">
      <c r="A42" s="1" t="s">
        <v>137</v>
      </c>
      <c r="B42" s="2">
        <v>0.00427636363636364</v>
      </c>
      <c r="C42" s="1" t="s">
        <v>110</v>
      </c>
      <c r="D42" s="2">
        <v>0.898085980559174</v>
      </c>
      <c r="E42" s="2">
        <v>0.00476164167900834</v>
      </c>
      <c r="F42" s="1" t="s">
        <v>399</v>
      </c>
      <c r="G42" s="2">
        <v>-1.69456803813426</v>
      </c>
      <c r="H42" s="2">
        <v>3.02474082288056</v>
      </c>
    </row>
    <row r="43" spans="1:8">
      <c r="A43" s="1" t="s">
        <v>108</v>
      </c>
      <c r="B43" s="2">
        <v>0.163545454545455</v>
      </c>
      <c r="C43" s="1" t="s">
        <v>114</v>
      </c>
      <c r="D43" s="2">
        <v>0.898121804798333</v>
      </c>
      <c r="E43" s="2">
        <v>0.163545454545455</v>
      </c>
      <c r="F43" s="1" t="s">
        <v>399</v>
      </c>
      <c r="G43" s="2">
        <v>-1.27893237109756</v>
      </c>
      <c r="H43" s="2">
        <v>2.27292642078765</v>
      </c>
    </row>
    <row r="44" spans="1:8">
      <c r="A44" s="1" t="s">
        <v>108</v>
      </c>
      <c r="B44" s="2">
        <v>0.973636363636364</v>
      </c>
      <c r="C44" s="1" t="s">
        <v>114</v>
      </c>
      <c r="D44" s="2">
        <v>0.898121804798333</v>
      </c>
      <c r="E44" s="2">
        <v>0.973636363636364</v>
      </c>
      <c r="F44" s="1" t="s">
        <v>399</v>
      </c>
      <c r="G44" s="2">
        <v>-1.27893237109756</v>
      </c>
      <c r="H44" s="2">
        <v>2.27292642078765</v>
      </c>
    </row>
    <row r="45" spans="1:8">
      <c r="A45" s="1" t="s">
        <v>108</v>
      </c>
      <c r="B45" s="2">
        <v>0.935454545454545</v>
      </c>
      <c r="C45" s="1" t="s">
        <v>114</v>
      </c>
      <c r="D45" s="2">
        <v>0.898121804798333</v>
      </c>
      <c r="E45" s="2">
        <v>0.935454545454545</v>
      </c>
      <c r="F45" s="1" t="s">
        <v>399</v>
      </c>
      <c r="G45" s="2">
        <v>-1.27893237109756</v>
      </c>
      <c r="H45" s="2">
        <v>2.27292642078765</v>
      </c>
    </row>
    <row r="46" spans="1:8">
      <c r="A46" s="1" t="s">
        <v>136</v>
      </c>
      <c r="B46" s="2">
        <v>0.635930909090909</v>
      </c>
      <c r="C46" s="1" t="s">
        <v>110</v>
      </c>
      <c r="D46" s="2">
        <v>0.919960813526214</v>
      </c>
      <c r="E46" s="2">
        <v>0.691258692479936</v>
      </c>
      <c r="F46" s="1" t="s">
        <v>399</v>
      </c>
      <c r="G46" s="2">
        <v>-1.36343949725763</v>
      </c>
      <c r="H46" s="2">
        <v>2.6985042681358</v>
      </c>
    </row>
    <row r="47" spans="1:8">
      <c r="A47" s="1" t="s">
        <v>136</v>
      </c>
      <c r="B47" s="2">
        <v>0.887345454545455</v>
      </c>
      <c r="C47" s="1" t="s">
        <v>110</v>
      </c>
      <c r="D47" s="2">
        <v>0.919960813526214</v>
      </c>
      <c r="E47" s="2">
        <v>0.964547012762702</v>
      </c>
      <c r="F47" s="1" t="s">
        <v>399</v>
      </c>
      <c r="G47" s="2">
        <v>-1.36343949725763</v>
      </c>
      <c r="H47" s="2">
        <v>2.6985042681358</v>
      </c>
    </row>
    <row r="48" spans="1:8">
      <c r="A48" s="1" t="s">
        <v>136</v>
      </c>
      <c r="B48" s="2">
        <v>0.598958181818182</v>
      </c>
      <c r="C48" s="1" t="s">
        <v>110</v>
      </c>
      <c r="D48" s="2">
        <v>0.919960813526214</v>
      </c>
      <c r="E48" s="2">
        <v>0.651069233614823</v>
      </c>
      <c r="F48" s="1" t="s">
        <v>399</v>
      </c>
      <c r="G48" s="2">
        <v>-1.36343949725763</v>
      </c>
      <c r="H48" s="2">
        <v>2.6985042681358</v>
      </c>
    </row>
    <row r="49" spans="1:8">
      <c r="A49" s="1" t="s">
        <v>136</v>
      </c>
      <c r="B49" s="2">
        <v>0.484342727272727</v>
      </c>
      <c r="C49" s="1" t="s">
        <v>110</v>
      </c>
      <c r="D49" s="2">
        <v>0.919960813526214</v>
      </c>
      <c r="E49" s="2">
        <v>0.526481911132974</v>
      </c>
      <c r="F49" s="1" t="s">
        <v>399</v>
      </c>
      <c r="G49" s="2">
        <v>-1.36343949725763</v>
      </c>
      <c r="H49" s="2">
        <v>2.6985042681358</v>
      </c>
    </row>
    <row r="50" spans="1:8">
      <c r="A50" s="1" t="s">
        <v>136</v>
      </c>
      <c r="B50" s="2">
        <v>1.15791454545455</v>
      </c>
      <c r="C50" s="1" t="s">
        <v>110</v>
      </c>
      <c r="D50" s="2">
        <v>0.919960813526214</v>
      </c>
      <c r="E50" s="2">
        <v>1.25865637799969</v>
      </c>
      <c r="F50" s="1" t="s">
        <v>399</v>
      </c>
      <c r="G50" s="2">
        <v>-1.36343949725763</v>
      </c>
      <c r="H50" s="2">
        <v>2.6985042681358</v>
      </c>
    </row>
    <row r="51" spans="1:8">
      <c r="A51" s="1" t="s">
        <v>136</v>
      </c>
      <c r="B51" s="2">
        <v>1.08120727272727</v>
      </c>
      <c r="C51" s="1" t="s">
        <v>110</v>
      </c>
      <c r="D51" s="2">
        <v>0.919960813526214</v>
      </c>
      <c r="E51" s="2">
        <v>1.17527535611326</v>
      </c>
      <c r="F51" s="1" t="s">
        <v>399</v>
      </c>
      <c r="G51" s="2">
        <v>-1.36343949725763</v>
      </c>
      <c r="H51" s="2">
        <v>2.6985042681358</v>
      </c>
    </row>
    <row r="52" spans="1:8">
      <c r="A52" s="1" t="s">
        <v>136</v>
      </c>
      <c r="B52" s="2">
        <v>0.117617818181818</v>
      </c>
      <c r="C52" s="1" t="s">
        <v>110</v>
      </c>
      <c r="D52" s="2">
        <v>0.919960813526214</v>
      </c>
      <c r="E52" s="2">
        <v>0.127850900225835</v>
      </c>
      <c r="F52" s="1" t="s">
        <v>399</v>
      </c>
      <c r="G52" s="2">
        <v>-1.36343949725763</v>
      </c>
      <c r="H52" s="2">
        <v>2.6985042681358</v>
      </c>
    </row>
    <row r="53" spans="1:8">
      <c r="A53" s="1" t="s">
        <v>136</v>
      </c>
      <c r="B53" s="2">
        <v>0.814558181818182</v>
      </c>
      <c r="C53" s="1" t="s">
        <v>110</v>
      </c>
      <c r="D53" s="2">
        <v>0.919960813526214</v>
      </c>
      <c r="E53" s="2">
        <v>0.885427041936685</v>
      </c>
      <c r="F53" s="1" t="s">
        <v>399</v>
      </c>
      <c r="G53" s="2">
        <v>-1.36343949725763</v>
      </c>
      <c r="H53" s="2">
        <v>2.6985042681358</v>
      </c>
    </row>
    <row r="54" spans="1:8">
      <c r="A54" s="1" t="s">
        <v>136</v>
      </c>
      <c r="B54" s="2">
        <v>1.31863454545455</v>
      </c>
      <c r="C54" s="1" t="s">
        <v>110</v>
      </c>
      <c r="D54" s="2">
        <v>0.919960813526214</v>
      </c>
      <c r="E54" s="2">
        <v>1.43335947147598</v>
      </c>
      <c r="F54" s="1" t="s">
        <v>399</v>
      </c>
      <c r="G54" s="2">
        <v>-1.36343949725763</v>
      </c>
      <c r="H54" s="2">
        <v>2.6985042681358</v>
      </c>
    </row>
    <row r="55" spans="1:8">
      <c r="A55" s="1" t="s">
        <v>136</v>
      </c>
      <c r="B55" s="2">
        <v>1.30767636363636</v>
      </c>
      <c r="C55" s="1" t="s">
        <v>110</v>
      </c>
      <c r="D55" s="2">
        <v>0.919960813526214</v>
      </c>
      <c r="E55" s="2">
        <v>1.42144789692077</v>
      </c>
      <c r="F55" s="1" t="s">
        <v>399</v>
      </c>
      <c r="G55" s="2">
        <v>-1.36343949725763</v>
      </c>
      <c r="H55" s="2">
        <v>2.6985042681358</v>
      </c>
    </row>
    <row r="56" spans="1:8">
      <c r="A56" s="1" t="s">
        <v>136</v>
      </c>
      <c r="B56" s="2">
        <v>0.765335454545454</v>
      </c>
      <c r="C56" s="1" t="s">
        <v>110</v>
      </c>
      <c r="D56" s="2">
        <v>0.919960813526214</v>
      </c>
      <c r="E56" s="2">
        <v>0.831921798507829</v>
      </c>
      <c r="F56" s="1" t="s">
        <v>399</v>
      </c>
      <c r="G56" s="2">
        <v>-1.36343949725763</v>
      </c>
      <c r="H56" s="2">
        <v>2.6985042681358</v>
      </c>
    </row>
    <row r="57" spans="1:8">
      <c r="A57" s="1" t="s">
        <v>136</v>
      </c>
      <c r="B57" s="2">
        <v>0.521315454545454</v>
      </c>
      <c r="C57" s="1" t="s">
        <v>110</v>
      </c>
      <c r="D57" s="2">
        <v>0.919960813526214</v>
      </c>
      <c r="E57" s="2">
        <v>0.566671369998086</v>
      </c>
      <c r="F57" s="1" t="s">
        <v>399</v>
      </c>
      <c r="G57" s="2">
        <v>-1.36343949725763</v>
      </c>
      <c r="H57" s="2">
        <v>2.6985042681358</v>
      </c>
    </row>
    <row r="58" spans="1:8">
      <c r="A58" s="1" t="s">
        <v>136</v>
      </c>
      <c r="B58" s="2">
        <v>0.680298181818182</v>
      </c>
      <c r="C58" s="1" t="s">
        <v>110</v>
      </c>
      <c r="D58" s="2">
        <v>0.919960813526214</v>
      </c>
      <c r="E58" s="2">
        <v>0.739486043118071</v>
      </c>
      <c r="F58" s="1" t="s">
        <v>399</v>
      </c>
      <c r="G58" s="2">
        <v>-1.36343949725763</v>
      </c>
      <c r="H58" s="2">
        <v>2.6985042681358</v>
      </c>
    </row>
    <row r="59" spans="1:8">
      <c r="A59" s="1" t="s">
        <v>136</v>
      </c>
      <c r="B59" s="2">
        <v>1.24558</v>
      </c>
      <c r="C59" s="1" t="s">
        <v>110</v>
      </c>
      <c r="D59" s="2">
        <v>0.919960813526214</v>
      </c>
      <c r="E59" s="2">
        <v>1.3539489744413</v>
      </c>
      <c r="F59" s="1" t="s">
        <v>399</v>
      </c>
      <c r="G59" s="2">
        <v>-1.36343949725763</v>
      </c>
      <c r="H59" s="2">
        <v>2.6985042681358</v>
      </c>
    </row>
    <row r="60" spans="1:8">
      <c r="A60" s="1" t="s">
        <v>136</v>
      </c>
      <c r="B60" s="2">
        <v>0.876654545454545</v>
      </c>
      <c r="C60" s="1" t="s">
        <v>110</v>
      </c>
      <c r="D60" s="2">
        <v>0.919960813526214</v>
      </c>
      <c r="E60" s="2">
        <v>0.952925964416162</v>
      </c>
      <c r="F60" s="1" t="s">
        <v>399</v>
      </c>
      <c r="G60" s="2">
        <v>-1.36343949725763</v>
      </c>
      <c r="H60" s="2">
        <v>2.6985042681358</v>
      </c>
    </row>
    <row r="61" spans="1:8">
      <c r="A61" s="1" t="s">
        <v>136</v>
      </c>
      <c r="B61" s="2">
        <v>1.06659636363636</v>
      </c>
      <c r="C61" s="1" t="s">
        <v>110</v>
      </c>
      <c r="D61" s="2">
        <v>0.919960813526214</v>
      </c>
      <c r="E61" s="2">
        <v>1.15939325670633</v>
      </c>
      <c r="F61" s="1" t="s">
        <v>399</v>
      </c>
      <c r="G61" s="2">
        <v>-1.36343949725763</v>
      </c>
      <c r="H61" s="2">
        <v>2.6985042681358</v>
      </c>
    </row>
    <row r="62" spans="1:8">
      <c r="A62" s="1" t="s">
        <v>136</v>
      </c>
      <c r="B62" s="2">
        <v>0.960667272727273</v>
      </c>
      <c r="C62" s="1" t="s">
        <v>110</v>
      </c>
      <c r="D62" s="2">
        <v>0.919960813526214</v>
      </c>
      <c r="E62" s="2">
        <v>1.04424803600605</v>
      </c>
      <c r="F62" s="1" t="s">
        <v>399</v>
      </c>
      <c r="G62" s="2">
        <v>-1.36343949725763</v>
      </c>
      <c r="H62" s="2">
        <v>2.6985042681358</v>
      </c>
    </row>
    <row r="63" spans="1:8">
      <c r="A63" s="1" t="s">
        <v>136</v>
      </c>
      <c r="B63" s="2">
        <v>1.12504</v>
      </c>
      <c r="C63" s="1" t="s">
        <v>110</v>
      </c>
      <c r="D63" s="2">
        <v>0.919960813526214</v>
      </c>
      <c r="E63" s="2">
        <v>1.22292165433408</v>
      </c>
      <c r="F63" s="1" t="s">
        <v>399</v>
      </c>
      <c r="G63" s="2">
        <v>-1.36343949725763</v>
      </c>
      <c r="H63" s="2">
        <v>2.6985042681358</v>
      </c>
    </row>
    <row r="64" spans="1:8">
      <c r="A64" s="1" t="s">
        <v>136</v>
      </c>
      <c r="B64" s="2">
        <v>1.37342545454545</v>
      </c>
      <c r="C64" s="1" t="s">
        <v>110</v>
      </c>
      <c r="D64" s="2">
        <v>0.919960813526214</v>
      </c>
      <c r="E64" s="2">
        <v>1.49291734425198</v>
      </c>
      <c r="F64" s="1" t="s">
        <v>399</v>
      </c>
      <c r="G64" s="2">
        <v>-1.36343949725763</v>
      </c>
      <c r="H64" s="2">
        <v>2.6985042681358</v>
      </c>
    </row>
    <row r="65" spans="1:8">
      <c r="A65" s="1" t="s">
        <v>136</v>
      </c>
      <c r="B65" s="2">
        <v>1.34055090909091</v>
      </c>
      <c r="C65" s="1" t="s">
        <v>110</v>
      </c>
      <c r="D65" s="2">
        <v>0.919960813526214</v>
      </c>
      <c r="E65" s="2">
        <v>1.45718262058638</v>
      </c>
      <c r="F65" s="1" t="s">
        <v>399</v>
      </c>
      <c r="G65" s="2">
        <v>-1.36343949725763</v>
      </c>
      <c r="H65" s="2">
        <v>2.6985042681358</v>
      </c>
    </row>
    <row r="66" spans="1:8">
      <c r="A66" s="1" t="s">
        <v>108</v>
      </c>
      <c r="B66" s="2">
        <v>0.18</v>
      </c>
      <c r="C66" s="1" t="s">
        <v>110</v>
      </c>
      <c r="D66" s="2">
        <v>0.898121804798333</v>
      </c>
      <c r="E66" s="2">
        <v>0.20041824954959</v>
      </c>
      <c r="F66" s="1" t="s">
        <v>399</v>
      </c>
      <c r="G66" s="2">
        <v>-1.27893237109756</v>
      </c>
      <c r="H66" s="2">
        <v>2.27292642078765</v>
      </c>
    </row>
    <row r="67" spans="1:8">
      <c r="A67" s="1" t="s">
        <v>108</v>
      </c>
      <c r="B67" s="2">
        <v>0.19</v>
      </c>
      <c r="C67" s="1" t="s">
        <v>110</v>
      </c>
      <c r="D67" s="2">
        <v>0.898121804798333</v>
      </c>
      <c r="E67" s="2">
        <v>0.211552596746789</v>
      </c>
      <c r="F67" s="1" t="s">
        <v>399</v>
      </c>
      <c r="G67" s="2">
        <v>-1.27893237109756</v>
      </c>
      <c r="H67" s="2">
        <v>2.27292642078765</v>
      </c>
    </row>
    <row r="68" spans="1:8">
      <c r="A68" s="1" t="s">
        <v>108</v>
      </c>
      <c r="B68" s="2">
        <v>0.02</v>
      </c>
      <c r="C68" s="1" t="s">
        <v>110</v>
      </c>
      <c r="D68" s="2">
        <v>0.898121804798333</v>
      </c>
      <c r="E68" s="2">
        <v>0.0222686943943988</v>
      </c>
      <c r="F68" s="1" t="s">
        <v>399</v>
      </c>
      <c r="G68" s="2">
        <v>-1.27893237109756</v>
      </c>
      <c r="H68" s="2">
        <v>2.27292642078765</v>
      </c>
    </row>
    <row r="69" spans="1:8">
      <c r="A69" s="1" t="s">
        <v>108</v>
      </c>
      <c r="B69" s="2">
        <v>0.31</v>
      </c>
      <c r="C69" s="1" t="s">
        <v>110</v>
      </c>
      <c r="D69" s="2">
        <v>0.898121804798333</v>
      </c>
      <c r="E69" s="2">
        <v>0.345164763113182</v>
      </c>
      <c r="F69" s="1" t="s">
        <v>399</v>
      </c>
      <c r="G69" s="2">
        <v>-1.27893237109756</v>
      </c>
      <c r="H69" s="2">
        <v>2.27292642078765</v>
      </c>
    </row>
    <row r="70" spans="1:8">
      <c r="A70" s="1" t="s">
        <v>108</v>
      </c>
      <c r="B70" s="2">
        <v>0.05</v>
      </c>
      <c r="C70" s="1" t="s">
        <v>110</v>
      </c>
      <c r="D70" s="2">
        <v>0.898121804798333</v>
      </c>
      <c r="E70" s="2">
        <v>0.0556717359859971</v>
      </c>
      <c r="F70" s="1" t="s">
        <v>399</v>
      </c>
      <c r="G70" s="2">
        <v>-1.27893237109756</v>
      </c>
      <c r="H70" s="2">
        <v>2.27292642078765</v>
      </c>
    </row>
    <row r="71" spans="1:8">
      <c r="A71" s="1" t="s">
        <v>108</v>
      </c>
      <c r="B71" s="2">
        <v>0.07</v>
      </c>
      <c r="C71" s="1" t="s">
        <v>110</v>
      </c>
      <c r="D71" s="2">
        <v>0.898121804798333</v>
      </c>
      <c r="E71" s="2">
        <v>0.0779404303803959</v>
      </c>
      <c r="F71" s="1" t="s">
        <v>399</v>
      </c>
      <c r="G71" s="2">
        <v>-1.27893237109756</v>
      </c>
      <c r="H71" s="2">
        <v>2.27292642078765</v>
      </c>
    </row>
    <row r="72" spans="1:8">
      <c r="A72" s="1" t="s">
        <v>108</v>
      </c>
      <c r="B72" s="2">
        <v>0.03</v>
      </c>
      <c r="C72" s="1" t="s">
        <v>110</v>
      </c>
      <c r="D72" s="2">
        <v>0.898121804798333</v>
      </c>
      <c r="E72" s="2">
        <v>0.0334030415915983</v>
      </c>
      <c r="F72" s="1" t="s">
        <v>399</v>
      </c>
      <c r="G72" s="2">
        <v>-1.27893237109756</v>
      </c>
      <c r="H72" s="2">
        <v>2.27292642078765</v>
      </c>
    </row>
    <row r="73" spans="1:8">
      <c r="A73" s="1" t="s">
        <v>108</v>
      </c>
      <c r="B73" s="2">
        <v>0.18</v>
      </c>
      <c r="C73" s="1" t="s">
        <v>110</v>
      </c>
      <c r="D73" s="2">
        <v>0.898121804798333</v>
      </c>
      <c r="E73" s="2">
        <v>0.20041824954959</v>
      </c>
      <c r="F73" s="1" t="s">
        <v>399</v>
      </c>
      <c r="G73" s="2">
        <v>-1.27893237109756</v>
      </c>
      <c r="H73" s="2">
        <v>2.27292642078765</v>
      </c>
    </row>
    <row r="74" spans="1:8">
      <c r="A74" s="1" t="s">
        <v>108</v>
      </c>
      <c r="B74" s="2">
        <v>0.19</v>
      </c>
      <c r="C74" s="1" t="s">
        <v>110</v>
      </c>
      <c r="D74" s="2">
        <v>0.898121804798333</v>
      </c>
      <c r="E74" s="2">
        <v>0.211552596746789</v>
      </c>
      <c r="F74" s="1" t="s">
        <v>399</v>
      </c>
      <c r="G74" s="2">
        <v>-1.27893237109756</v>
      </c>
      <c r="H74" s="2">
        <v>2.27292642078765</v>
      </c>
    </row>
    <row r="75" spans="1:8">
      <c r="A75" s="1" t="s">
        <v>108</v>
      </c>
      <c r="B75" s="2">
        <v>0.021</v>
      </c>
      <c r="C75" s="1" t="s">
        <v>110</v>
      </c>
      <c r="D75" s="2">
        <v>0.898121804798333</v>
      </c>
      <c r="E75" s="2">
        <v>0.0233821291141188</v>
      </c>
      <c r="F75" s="1" t="s">
        <v>399</v>
      </c>
      <c r="G75" s="2">
        <v>-1.27893237109756</v>
      </c>
      <c r="H75" s="2">
        <v>2.27292642078765</v>
      </c>
    </row>
    <row r="76" spans="1:8">
      <c r="A76" s="1" t="s">
        <v>108</v>
      </c>
      <c r="B76" s="2">
        <v>0.27</v>
      </c>
      <c r="C76" s="1" t="s">
        <v>110</v>
      </c>
      <c r="D76" s="2">
        <v>0.898121804798333</v>
      </c>
      <c r="E76" s="2">
        <v>0.300627374324384</v>
      </c>
      <c r="F76" s="1" t="s">
        <v>399</v>
      </c>
      <c r="G76" s="2">
        <v>-1.27893237109756</v>
      </c>
      <c r="H76" s="2">
        <v>2.27292642078765</v>
      </c>
    </row>
    <row r="77" spans="1:8">
      <c r="A77" s="1" t="s">
        <v>108</v>
      </c>
      <c r="B77" s="2">
        <v>0.05</v>
      </c>
      <c r="C77" s="1" t="s">
        <v>110</v>
      </c>
      <c r="D77" s="2">
        <v>0.898121804798333</v>
      </c>
      <c r="E77" s="2">
        <v>0.0556717359859971</v>
      </c>
      <c r="F77" s="1" t="s">
        <v>399</v>
      </c>
      <c r="G77" s="2">
        <v>-1.27893237109756</v>
      </c>
      <c r="H77" s="2">
        <v>2.27292642078765</v>
      </c>
    </row>
    <row r="78" spans="1:8">
      <c r="A78" s="1" t="s">
        <v>108</v>
      </c>
      <c r="B78" s="2">
        <v>0.073</v>
      </c>
      <c r="C78" s="1" t="s">
        <v>110</v>
      </c>
      <c r="D78" s="2">
        <v>0.898121804798333</v>
      </c>
      <c r="E78" s="2">
        <v>0.0812807345395558</v>
      </c>
      <c r="F78" s="1" t="s">
        <v>399</v>
      </c>
      <c r="G78" s="2">
        <v>-1.27893237109756</v>
      </c>
      <c r="H78" s="2">
        <v>2.27292642078765</v>
      </c>
    </row>
    <row r="79" spans="1:8">
      <c r="A79" s="1" t="s">
        <v>108</v>
      </c>
      <c r="B79" s="2">
        <v>0.034</v>
      </c>
      <c r="C79" s="1" t="s">
        <v>110</v>
      </c>
      <c r="D79" s="2">
        <v>0.898121804798333</v>
      </c>
      <c r="E79" s="2">
        <v>0.037856780470478</v>
      </c>
      <c r="F79" s="1" t="s">
        <v>399</v>
      </c>
      <c r="G79" s="2">
        <v>-1.27893237109756</v>
      </c>
      <c r="H79" s="2">
        <v>2.27292642078765</v>
      </c>
    </row>
    <row r="80" spans="1:8">
      <c r="A80" s="1" t="s">
        <v>108</v>
      </c>
      <c r="B80" s="2">
        <v>0.14</v>
      </c>
      <c r="C80" s="1" t="s">
        <v>110</v>
      </c>
      <c r="D80" s="2">
        <v>0.898121804798333</v>
      </c>
      <c r="E80" s="2">
        <v>0.155880860760792</v>
      </c>
      <c r="F80" s="1" t="s">
        <v>399</v>
      </c>
      <c r="G80" s="2">
        <v>-1.27893237109756</v>
      </c>
      <c r="H80" s="2">
        <v>2.27292642078765</v>
      </c>
    </row>
    <row r="81" spans="1:8">
      <c r="A81" s="1" t="s">
        <v>137</v>
      </c>
      <c r="B81" s="2">
        <v>0.69</v>
      </c>
      <c r="C81" s="1" t="s">
        <v>110</v>
      </c>
      <c r="D81" s="2">
        <v>0.898085980559174</v>
      </c>
      <c r="E81" s="2">
        <v>0.768300602544075</v>
      </c>
      <c r="F81" s="1" t="s">
        <v>399</v>
      </c>
      <c r="G81" s="2">
        <v>-1.69456803813426</v>
      </c>
      <c r="H81" s="2">
        <v>3.02474082288056</v>
      </c>
    </row>
    <row r="82" spans="1:8">
      <c r="A82" s="1" t="s">
        <v>137</v>
      </c>
      <c r="B82" s="2">
        <v>2.09</v>
      </c>
      <c r="C82" s="1" t="s">
        <v>110</v>
      </c>
      <c r="D82" s="2">
        <v>0.898085980559174</v>
      </c>
      <c r="E82" s="2">
        <v>2.32717139031466</v>
      </c>
      <c r="F82" s="1" t="s">
        <v>399</v>
      </c>
      <c r="G82" s="2">
        <v>-1.69456803813426</v>
      </c>
      <c r="H82" s="2">
        <v>3.02474082288056</v>
      </c>
    </row>
    <row r="83" spans="1:8">
      <c r="A83" s="1" t="s">
        <v>137</v>
      </c>
      <c r="B83" s="2">
        <v>0.89</v>
      </c>
      <c r="C83" s="1" t="s">
        <v>110</v>
      </c>
      <c r="D83" s="2">
        <v>0.898085980559174</v>
      </c>
      <c r="E83" s="2">
        <v>0.990996429368445</v>
      </c>
      <c r="F83" s="1" t="s">
        <v>399</v>
      </c>
      <c r="G83" s="2">
        <v>-1.69456803813426</v>
      </c>
      <c r="H83" s="2">
        <v>3.02474082288056</v>
      </c>
    </row>
    <row r="84" spans="1:8">
      <c r="A84" s="1" t="s">
        <v>184</v>
      </c>
      <c r="B84" s="2">
        <v>0.0224</v>
      </c>
      <c r="C84" s="1" t="s">
        <v>114</v>
      </c>
      <c r="D84" s="2">
        <v>0.865259126364145</v>
      </c>
      <c r="E84" s="2">
        <v>0.0224</v>
      </c>
      <c r="F84" s="1" t="s">
        <v>399</v>
      </c>
      <c r="G84" s="2">
        <v>-1.4516067198867</v>
      </c>
      <c r="H84" s="2">
        <v>2.47096403193202</v>
      </c>
    </row>
    <row r="85" spans="1:8">
      <c r="A85" s="1" t="s">
        <v>184</v>
      </c>
      <c r="B85" s="2">
        <v>0.00950467971305181</v>
      </c>
      <c r="C85" s="1" t="s">
        <v>110</v>
      </c>
      <c r="D85" s="2">
        <v>0.865259126364145</v>
      </c>
      <c r="E85" s="2">
        <v>0.0109847783437903</v>
      </c>
      <c r="F85" s="1" t="s">
        <v>399</v>
      </c>
      <c r="G85" s="2">
        <v>-1.4516067198867</v>
      </c>
      <c r="H85" s="2">
        <v>2.47096403193202</v>
      </c>
    </row>
    <row r="86" spans="1:8">
      <c r="A86" s="1" t="s">
        <v>184</v>
      </c>
      <c r="B86" s="2">
        <v>0.369881109643329</v>
      </c>
      <c r="C86" s="1" t="s">
        <v>110</v>
      </c>
      <c r="D86" s="2">
        <v>0.865259126364145</v>
      </c>
      <c r="E86" s="2">
        <v>0.427480159842503</v>
      </c>
      <c r="F86" s="1" t="s">
        <v>399</v>
      </c>
      <c r="G86" s="2">
        <v>-1.4516067198867</v>
      </c>
      <c r="H86" s="2">
        <v>2.47096403193202</v>
      </c>
    </row>
    <row r="87" spans="1:8">
      <c r="A87" s="1" t="s">
        <v>184</v>
      </c>
      <c r="B87" s="2">
        <v>2.21153846153846</v>
      </c>
      <c r="C87" s="1" t="s">
        <v>110</v>
      </c>
      <c r="D87" s="2">
        <v>0.865259126364145</v>
      </c>
      <c r="E87" s="2">
        <v>2.55592618922315</v>
      </c>
      <c r="F87" s="1" t="s">
        <v>400</v>
      </c>
      <c r="G87" s="2">
        <v>-1.4516067198867</v>
      </c>
      <c r="H87" s="2">
        <v>2.47096403193202</v>
      </c>
    </row>
    <row r="88" spans="1:8">
      <c r="A88" s="1" t="s">
        <v>184</v>
      </c>
      <c r="B88" s="2">
        <v>0.997566909975669</v>
      </c>
      <c r="C88" s="1" t="s">
        <v>110</v>
      </c>
      <c r="D88" s="2">
        <v>0.865259126364145</v>
      </c>
      <c r="E88" s="2">
        <v>1.15291116797287</v>
      </c>
      <c r="F88" s="1" t="s">
        <v>399</v>
      </c>
      <c r="G88" s="2">
        <v>-1.4516067198867</v>
      </c>
      <c r="H88" s="2">
        <v>2.47096403193202</v>
      </c>
    </row>
    <row r="89" spans="1:8">
      <c r="A89" s="1" t="s">
        <v>184</v>
      </c>
      <c r="B89" s="2">
        <v>10.2868318122555</v>
      </c>
      <c r="C89" s="1" t="s">
        <v>110</v>
      </c>
      <c r="D89" s="2">
        <v>0.865259126364145</v>
      </c>
      <c r="E89" s="2">
        <v>11.8887296288699</v>
      </c>
      <c r="F89" s="1" t="s">
        <v>400</v>
      </c>
      <c r="G89" s="2">
        <v>-1.4516067198867</v>
      </c>
      <c r="H89" s="2">
        <v>2.47096403193202</v>
      </c>
    </row>
    <row r="90" spans="1:8">
      <c r="A90" s="1" t="s">
        <v>139</v>
      </c>
      <c r="B90" s="2">
        <v>0.58</v>
      </c>
      <c r="C90" s="1" t="s">
        <v>110</v>
      </c>
      <c r="D90" s="2">
        <v>0.919960813526214</v>
      </c>
      <c r="E90" s="2">
        <v>0.630461636487382</v>
      </c>
      <c r="F90" s="1" t="s">
        <v>399</v>
      </c>
      <c r="G90" s="2">
        <v>-2.67038668339085</v>
      </c>
      <c r="H90" s="2">
        <v>4.6462391012346</v>
      </c>
    </row>
    <row r="91" spans="1:8">
      <c r="A91" s="1" t="s">
        <v>108</v>
      </c>
      <c r="B91" s="2">
        <v>0.0674545454545454</v>
      </c>
      <c r="C91" s="1" t="s">
        <v>114</v>
      </c>
      <c r="D91" s="2">
        <v>0.898121804798333</v>
      </c>
      <c r="E91" s="2">
        <v>0.0674545454545454</v>
      </c>
      <c r="F91" s="1" t="s">
        <v>399</v>
      </c>
      <c r="G91" s="2">
        <v>-1.27893237109756</v>
      </c>
      <c r="H91" s="2">
        <v>2.27292642078765</v>
      </c>
    </row>
    <row r="92" spans="1:8">
      <c r="A92" s="1" t="s">
        <v>108</v>
      </c>
      <c r="B92" s="2">
        <v>0.146363636363636</v>
      </c>
      <c r="C92" s="1" t="s">
        <v>114</v>
      </c>
      <c r="D92" s="2">
        <v>0.898121804798333</v>
      </c>
      <c r="E92" s="2">
        <v>0.146363636363636</v>
      </c>
      <c r="F92" s="1" t="s">
        <v>399</v>
      </c>
      <c r="G92" s="2">
        <v>-1.27893237109756</v>
      </c>
      <c r="H92" s="2">
        <v>2.27292642078765</v>
      </c>
    </row>
    <row r="93" spans="1:8">
      <c r="A93" s="1" t="s">
        <v>126</v>
      </c>
      <c r="B93" s="2">
        <v>0.103425636363636</v>
      </c>
      <c r="C93" s="1" t="s">
        <v>114</v>
      </c>
      <c r="D93" s="2">
        <v>0.911358608023812</v>
      </c>
      <c r="E93" s="2">
        <v>0.103425636363636</v>
      </c>
      <c r="F93" s="1" t="s">
        <v>399</v>
      </c>
      <c r="G93" s="2">
        <v>-2.41700054652004</v>
      </c>
      <c r="H93" s="2">
        <v>4.24620837687132</v>
      </c>
    </row>
    <row r="94" spans="1:8">
      <c r="A94" s="1" t="s">
        <v>136</v>
      </c>
      <c r="B94" s="2">
        <v>0.712</v>
      </c>
      <c r="C94" s="1" t="s">
        <v>110</v>
      </c>
      <c r="D94" s="2">
        <v>0.919960813526214</v>
      </c>
      <c r="E94" s="2">
        <v>0.773946008929337</v>
      </c>
      <c r="F94" s="1" t="s">
        <v>399</v>
      </c>
      <c r="G94" s="2">
        <v>-1.36343949725763</v>
      </c>
      <c r="H94" s="2">
        <v>2.6985042681358</v>
      </c>
    </row>
    <row r="95" spans="1:8">
      <c r="A95" s="1" t="s">
        <v>136</v>
      </c>
      <c r="B95" s="2">
        <v>0.184</v>
      </c>
      <c r="C95" s="1" t="s">
        <v>110</v>
      </c>
      <c r="D95" s="2">
        <v>0.919960813526214</v>
      </c>
      <c r="E95" s="2">
        <v>0.200008519161514</v>
      </c>
      <c r="F95" s="1" t="s">
        <v>399</v>
      </c>
      <c r="G95" s="2">
        <v>-1.36343949725763</v>
      </c>
      <c r="H95" s="2">
        <v>2.6985042681358</v>
      </c>
    </row>
    <row r="96" spans="1:8">
      <c r="A96" s="1" t="s">
        <v>136</v>
      </c>
      <c r="B96" s="2">
        <v>0.536</v>
      </c>
      <c r="C96" s="1" t="s">
        <v>110</v>
      </c>
      <c r="D96" s="2">
        <v>0.919960813526214</v>
      </c>
      <c r="E96" s="2">
        <v>0.582633512340063</v>
      </c>
      <c r="F96" s="1" t="s">
        <v>399</v>
      </c>
      <c r="G96" s="2">
        <v>-1.36343949725763</v>
      </c>
      <c r="H96" s="2">
        <v>2.6985042681358</v>
      </c>
    </row>
    <row r="97" spans="1:8">
      <c r="A97" s="1" t="s">
        <v>136</v>
      </c>
      <c r="B97" s="2">
        <v>0.672</v>
      </c>
      <c r="C97" s="1" t="s">
        <v>110</v>
      </c>
      <c r="D97" s="2">
        <v>0.919960813526214</v>
      </c>
      <c r="E97" s="2">
        <v>0.730465896068139</v>
      </c>
      <c r="F97" s="1" t="s">
        <v>399</v>
      </c>
      <c r="G97" s="2">
        <v>-1.36343949725763</v>
      </c>
      <c r="H97" s="2">
        <v>2.6985042681358</v>
      </c>
    </row>
    <row r="98" spans="1:8">
      <c r="A98" s="1" t="s">
        <v>108</v>
      </c>
      <c r="B98" s="2">
        <v>0.035</v>
      </c>
      <c r="C98" s="1" t="s">
        <v>114</v>
      </c>
      <c r="D98" s="2">
        <v>0.898121804798333</v>
      </c>
      <c r="E98" s="2">
        <v>0.035</v>
      </c>
      <c r="F98" s="1" t="s">
        <v>399</v>
      </c>
      <c r="G98" s="2">
        <v>-1.27893237109756</v>
      </c>
      <c r="H98" s="2">
        <v>2.27292642078765</v>
      </c>
    </row>
    <row r="99" spans="1:8">
      <c r="A99" s="1" t="s">
        <v>137</v>
      </c>
      <c r="B99" s="2">
        <v>2.8</v>
      </c>
      <c r="C99" s="1" t="s">
        <v>114</v>
      </c>
      <c r="D99" s="2">
        <v>0.898085980559174</v>
      </c>
      <c r="E99" s="2">
        <v>2.8</v>
      </c>
      <c r="F99" s="1" t="s">
        <v>399</v>
      </c>
      <c r="G99" s="2">
        <v>-1.69456803813426</v>
      </c>
      <c r="H99" s="2">
        <v>3.02474082288056</v>
      </c>
    </row>
    <row r="100" spans="1:8">
      <c r="A100" s="1" t="s">
        <v>112</v>
      </c>
      <c r="B100" s="2">
        <v>0.763636363636364</v>
      </c>
      <c r="C100" s="1" t="s">
        <v>114</v>
      </c>
      <c r="D100" s="2">
        <v>0.995980980414355</v>
      </c>
      <c r="E100" s="2">
        <v>0.763636363636364</v>
      </c>
      <c r="F100" s="1" t="s">
        <v>399</v>
      </c>
      <c r="G100" s="2">
        <v>-3.3755808488784</v>
      </c>
      <c r="H100" s="2">
        <v>6.82112077050964</v>
      </c>
    </row>
    <row r="101" spans="1:8">
      <c r="A101" s="1" t="s">
        <v>112</v>
      </c>
      <c r="B101" s="2">
        <v>0.704895104895105</v>
      </c>
      <c r="C101" s="1" t="s">
        <v>114</v>
      </c>
      <c r="D101" s="2">
        <v>0.995980980414355</v>
      </c>
      <c r="E101" s="2">
        <v>0.704895104895105</v>
      </c>
      <c r="F101" s="1" t="s">
        <v>399</v>
      </c>
      <c r="G101" s="2">
        <v>-3.3755808488784</v>
      </c>
      <c r="H101" s="2">
        <v>6.82112077050964</v>
      </c>
    </row>
    <row r="102" spans="1:8">
      <c r="A102" s="1" t="s">
        <v>112</v>
      </c>
      <c r="B102" s="2">
        <v>0.881118881118881</v>
      </c>
      <c r="C102" s="1" t="s">
        <v>114</v>
      </c>
      <c r="D102" s="2">
        <v>0.995980980414355</v>
      </c>
      <c r="E102" s="2">
        <v>0.881118881118881</v>
      </c>
      <c r="F102" s="1" t="s">
        <v>399</v>
      </c>
      <c r="G102" s="2">
        <v>-3.3755808488784</v>
      </c>
      <c r="H102" s="2">
        <v>6.82112077050964</v>
      </c>
    </row>
    <row r="103" spans="1:8">
      <c r="A103" s="1" t="s">
        <v>112</v>
      </c>
      <c r="B103" s="2">
        <v>0.46993006993007</v>
      </c>
      <c r="C103" s="1" t="s">
        <v>114</v>
      </c>
      <c r="D103" s="2">
        <v>0.995980980414355</v>
      </c>
      <c r="E103" s="2">
        <v>0.46993006993007</v>
      </c>
      <c r="F103" s="1" t="s">
        <v>399</v>
      </c>
      <c r="G103" s="2">
        <v>-3.3755808488784</v>
      </c>
      <c r="H103" s="2">
        <v>6.82112077050964</v>
      </c>
    </row>
    <row r="104" spans="1:8">
      <c r="A104" s="1" t="s">
        <v>136</v>
      </c>
      <c r="B104" s="2">
        <v>3.30909090909091</v>
      </c>
      <c r="C104" s="1" t="s">
        <v>114</v>
      </c>
      <c r="D104" s="2">
        <v>0.919960813526214</v>
      </c>
      <c r="E104" s="2">
        <v>3.30909090909091</v>
      </c>
      <c r="F104" s="1" t="s">
        <v>400</v>
      </c>
      <c r="G104" s="2">
        <v>-1.36343949725763</v>
      </c>
      <c r="H104" s="2">
        <v>2.6985042681358</v>
      </c>
    </row>
    <row r="105" spans="1:8">
      <c r="A105" s="1" t="s">
        <v>136</v>
      </c>
      <c r="B105" s="2">
        <v>2.35562403697997</v>
      </c>
      <c r="C105" s="1" t="s">
        <v>114</v>
      </c>
      <c r="D105" s="2">
        <v>0.919960813526214</v>
      </c>
      <c r="E105" s="2">
        <v>2.35562403697997</v>
      </c>
      <c r="F105" s="1" t="s">
        <v>399</v>
      </c>
      <c r="G105" s="2">
        <v>-1.36343949725763</v>
      </c>
      <c r="H105" s="2">
        <v>2.6985042681358</v>
      </c>
    </row>
    <row r="106" spans="1:8">
      <c r="A106" s="1" t="s">
        <v>136</v>
      </c>
      <c r="B106" s="2">
        <v>1.79476117103236</v>
      </c>
      <c r="C106" s="1" t="s">
        <v>114</v>
      </c>
      <c r="D106" s="2">
        <v>0.919960813526214</v>
      </c>
      <c r="E106" s="2">
        <v>1.79476117103236</v>
      </c>
      <c r="F106" s="1" t="s">
        <v>399</v>
      </c>
      <c r="G106" s="2">
        <v>-1.36343949725763</v>
      </c>
      <c r="H106" s="2">
        <v>2.6985042681358</v>
      </c>
    </row>
    <row r="107" spans="1:8">
      <c r="A107" s="1" t="s">
        <v>136</v>
      </c>
      <c r="B107" s="2">
        <v>1.62650231124807</v>
      </c>
      <c r="C107" s="1" t="s">
        <v>114</v>
      </c>
      <c r="D107" s="2">
        <v>0.919960813526214</v>
      </c>
      <c r="E107" s="2">
        <v>1.62650231124807</v>
      </c>
      <c r="F107" s="1" t="s">
        <v>399</v>
      </c>
      <c r="G107" s="2">
        <v>-1.36343949725763</v>
      </c>
      <c r="H107" s="2">
        <v>2.6985042681358</v>
      </c>
    </row>
    <row r="108" spans="1:8">
      <c r="A108" s="1" t="s">
        <v>136</v>
      </c>
      <c r="B108" s="2">
        <v>1.79476117103236</v>
      </c>
      <c r="C108" s="1" t="s">
        <v>114</v>
      </c>
      <c r="D108" s="2">
        <v>0.919960813526214</v>
      </c>
      <c r="E108" s="2">
        <v>1.79476117103236</v>
      </c>
      <c r="F108" s="1" t="s">
        <v>399</v>
      </c>
      <c r="G108" s="2">
        <v>-1.36343949725763</v>
      </c>
      <c r="H108" s="2">
        <v>2.6985042681358</v>
      </c>
    </row>
    <row r="109" spans="1:8">
      <c r="A109" s="1" t="s">
        <v>136</v>
      </c>
      <c r="B109" s="2">
        <v>0.673035439137134</v>
      </c>
      <c r="C109" s="1" t="s">
        <v>114</v>
      </c>
      <c r="D109" s="2">
        <v>0.919960813526214</v>
      </c>
      <c r="E109" s="2">
        <v>0.673035439137134</v>
      </c>
      <c r="F109" s="1" t="s">
        <v>399</v>
      </c>
      <c r="G109" s="2">
        <v>-1.36343949725763</v>
      </c>
      <c r="H109" s="2">
        <v>2.6985042681358</v>
      </c>
    </row>
    <row r="110" spans="1:8">
      <c r="A110" s="1" t="s">
        <v>136</v>
      </c>
      <c r="B110" s="2">
        <v>0.616949152542373</v>
      </c>
      <c r="C110" s="1" t="s">
        <v>114</v>
      </c>
      <c r="D110" s="2">
        <v>0.919960813526214</v>
      </c>
      <c r="E110" s="2">
        <v>0.616949152542373</v>
      </c>
      <c r="F110" s="1" t="s">
        <v>399</v>
      </c>
      <c r="G110" s="2">
        <v>-1.36343949725763</v>
      </c>
      <c r="H110" s="2">
        <v>2.6985042681358</v>
      </c>
    </row>
    <row r="111" spans="1:8">
      <c r="A111" s="1" t="s">
        <v>137</v>
      </c>
      <c r="B111" s="2">
        <v>0.215384615384615</v>
      </c>
      <c r="C111" s="1" t="s">
        <v>114</v>
      </c>
      <c r="D111" s="2">
        <v>0.898085980559174</v>
      </c>
      <c r="E111" s="2">
        <v>0.215384615384615</v>
      </c>
      <c r="F111" s="1" t="s">
        <v>399</v>
      </c>
      <c r="G111" s="2">
        <v>-1.69456803813426</v>
      </c>
      <c r="H111" s="2">
        <v>3.02474082288056</v>
      </c>
    </row>
    <row r="112" spans="1:8">
      <c r="A112" s="1" t="s">
        <v>137</v>
      </c>
      <c r="B112" s="2">
        <v>0.7</v>
      </c>
      <c r="C112" s="1" t="s">
        <v>114</v>
      </c>
      <c r="D112" s="2">
        <v>0.898085980559174</v>
      </c>
      <c r="E112" s="2">
        <v>0.7</v>
      </c>
      <c r="F112" s="1" t="s">
        <v>399</v>
      </c>
      <c r="G112" s="2">
        <v>-1.69456803813426</v>
      </c>
      <c r="H112" s="2">
        <v>3.02474082288056</v>
      </c>
    </row>
    <row r="113" spans="1:8">
      <c r="A113" s="1" t="s">
        <v>137</v>
      </c>
      <c r="B113" s="2">
        <v>0.430769230769231</v>
      </c>
      <c r="C113" s="1" t="s">
        <v>114</v>
      </c>
      <c r="D113" s="2">
        <v>0.898085980559174</v>
      </c>
      <c r="E113" s="2">
        <v>0.430769230769231</v>
      </c>
      <c r="F113" s="1" t="s">
        <v>399</v>
      </c>
      <c r="G113" s="2">
        <v>-1.69456803813426</v>
      </c>
      <c r="H113" s="2">
        <v>3.02474082288056</v>
      </c>
    </row>
    <row r="114" spans="1:8">
      <c r="A114" s="1" t="s">
        <v>137</v>
      </c>
      <c r="B114" s="2">
        <v>0.215384615384615</v>
      </c>
      <c r="C114" s="1" t="s">
        <v>114</v>
      </c>
      <c r="D114" s="2">
        <v>0.898085980559174</v>
      </c>
      <c r="E114" s="2">
        <v>0.215384615384615</v>
      </c>
      <c r="F114" s="1" t="s">
        <v>399</v>
      </c>
      <c r="G114" s="2">
        <v>-1.69456803813426</v>
      </c>
      <c r="H114" s="2">
        <v>3.02474082288056</v>
      </c>
    </row>
    <row r="115" spans="1:8">
      <c r="A115" s="1" t="s">
        <v>137</v>
      </c>
      <c r="B115" s="2">
        <v>0.592307692307692</v>
      </c>
      <c r="C115" s="1" t="s">
        <v>114</v>
      </c>
      <c r="D115" s="2">
        <v>0.898085980559174</v>
      </c>
      <c r="E115" s="2">
        <v>0.592307692307692</v>
      </c>
      <c r="F115" s="1" t="s">
        <v>399</v>
      </c>
      <c r="G115" s="2">
        <v>-1.69456803813426</v>
      </c>
      <c r="H115" s="2">
        <v>3.02474082288056</v>
      </c>
    </row>
    <row r="116" spans="1:8">
      <c r="A116" s="1" t="s">
        <v>108</v>
      </c>
      <c r="B116" s="2">
        <v>0.167045454545455</v>
      </c>
      <c r="C116" s="1" t="s">
        <v>114</v>
      </c>
      <c r="D116" s="2">
        <v>0.898121804798333</v>
      </c>
      <c r="E116" s="2">
        <v>0.167045454545455</v>
      </c>
      <c r="F116" s="1" t="s">
        <v>399</v>
      </c>
      <c r="G116" s="2">
        <v>-1.27893237109756</v>
      </c>
      <c r="H116" s="2">
        <v>2.27292642078765</v>
      </c>
    </row>
    <row r="117" spans="1:8">
      <c r="A117" s="1" t="s">
        <v>108</v>
      </c>
      <c r="B117" s="2">
        <v>0.222727272727273</v>
      </c>
      <c r="C117" s="1" t="s">
        <v>114</v>
      </c>
      <c r="D117" s="2">
        <v>0.898121804798333</v>
      </c>
      <c r="E117" s="2">
        <v>0.222727272727273</v>
      </c>
      <c r="F117" s="1" t="s">
        <v>399</v>
      </c>
      <c r="G117" s="2">
        <v>-1.27893237109756</v>
      </c>
      <c r="H117" s="2">
        <v>2.27292642078765</v>
      </c>
    </row>
    <row r="118" spans="1:8">
      <c r="A118" s="1" t="s">
        <v>108</v>
      </c>
      <c r="B118" s="2">
        <v>0.445454545454545</v>
      </c>
      <c r="C118" s="1" t="s">
        <v>114</v>
      </c>
      <c r="D118" s="2">
        <v>0.898121804798333</v>
      </c>
      <c r="E118" s="2">
        <v>0.445454545454545</v>
      </c>
      <c r="F118" s="1" t="s">
        <v>399</v>
      </c>
      <c r="G118" s="2">
        <v>-1.27893237109756</v>
      </c>
      <c r="H118" s="2">
        <v>2.27292642078765</v>
      </c>
    </row>
    <row r="119" spans="1:8">
      <c r="A119" s="1" t="s">
        <v>136</v>
      </c>
      <c r="B119" s="2">
        <v>1.52727272727273</v>
      </c>
      <c r="C119" s="1" t="s">
        <v>114</v>
      </c>
      <c r="D119" s="2">
        <v>0.919960813526214</v>
      </c>
      <c r="E119" s="2">
        <v>1.52727272727273</v>
      </c>
      <c r="F119" s="1" t="s">
        <v>399</v>
      </c>
      <c r="G119" s="2">
        <v>-1.36343949725763</v>
      </c>
      <c r="H119" s="2">
        <v>2.6985042681358</v>
      </c>
    </row>
    <row r="120" spans="1:8">
      <c r="A120" s="1" t="s">
        <v>136</v>
      </c>
      <c r="B120" s="2">
        <v>0.593939393939394</v>
      </c>
      <c r="C120" s="1" t="s">
        <v>114</v>
      </c>
      <c r="D120" s="2">
        <v>0.919960813526214</v>
      </c>
      <c r="E120" s="2">
        <v>0.593939393939394</v>
      </c>
      <c r="F120" s="1" t="s">
        <v>399</v>
      </c>
      <c r="G120" s="2">
        <v>-1.36343949725763</v>
      </c>
      <c r="H120" s="2">
        <v>2.6985042681358</v>
      </c>
    </row>
    <row r="121" spans="1:8">
      <c r="A121" s="1" t="s">
        <v>136</v>
      </c>
      <c r="B121" s="2">
        <v>0.0424242424242424</v>
      </c>
      <c r="C121" s="1" t="s">
        <v>114</v>
      </c>
      <c r="D121" s="2">
        <v>0.919960813526214</v>
      </c>
      <c r="E121" s="2">
        <v>0.0424242424242424</v>
      </c>
      <c r="F121" s="1" t="s">
        <v>399</v>
      </c>
      <c r="G121" s="2">
        <v>-1.36343949725763</v>
      </c>
      <c r="H121" s="2">
        <v>2.6985042681358</v>
      </c>
    </row>
    <row r="122" spans="1:8">
      <c r="A122" s="1" t="s">
        <v>137</v>
      </c>
      <c r="B122" s="2">
        <v>0.905358135277387</v>
      </c>
      <c r="C122" s="1" t="s">
        <v>110</v>
      </c>
      <c r="D122" s="2">
        <v>0.898085980559174</v>
      </c>
      <c r="E122" s="2">
        <v>1.00809739253884</v>
      </c>
      <c r="F122" s="1" t="s">
        <v>399</v>
      </c>
      <c r="G122" s="2">
        <v>-1.69456803813426</v>
      </c>
      <c r="H122" s="2">
        <v>3.02474082288056</v>
      </c>
    </row>
    <row r="123" spans="1:8">
      <c r="A123" s="1" t="s">
        <v>137</v>
      </c>
      <c r="B123" s="2">
        <v>2.36934465265555</v>
      </c>
      <c r="C123" s="1" t="s">
        <v>110</v>
      </c>
      <c r="D123" s="2">
        <v>0.898085980559174</v>
      </c>
      <c r="E123" s="2">
        <v>2.63821583227513</v>
      </c>
      <c r="F123" s="1" t="s">
        <v>399</v>
      </c>
      <c r="G123" s="2">
        <v>-1.69456803813426</v>
      </c>
      <c r="H123" s="2">
        <v>3.02474082288056</v>
      </c>
    </row>
    <row r="124" spans="1:8">
      <c r="A124" s="1" t="s">
        <v>112</v>
      </c>
      <c r="B124" s="2">
        <v>0.89</v>
      </c>
      <c r="C124" s="1" t="s">
        <v>110</v>
      </c>
      <c r="D124" s="2">
        <v>0.995980980414355</v>
      </c>
      <c r="E124" s="2">
        <v>0.893591361182154</v>
      </c>
      <c r="F124" s="1" t="s">
        <v>399</v>
      </c>
      <c r="G124" s="2">
        <v>-3.3755808488784</v>
      </c>
      <c r="H124" s="2">
        <v>6.82112077050964</v>
      </c>
    </row>
    <row r="125" spans="1:8">
      <c r="A125" s="1" t="s">
        <v>154</v>
      </c>
      <c r="B125" s="2">
        <v>0.321582089552239</v>
      </c>
      <c r="C125" s="1" t="s">
        <v>110</v>
      </c>
      <c r="D125" s="2">
        <v>0.945470448484017</v>
      </c>
      <c r="E125" s="2">
        <v>0.340129181264067</v>
      </c>
      <c r="F125" s="1" t="s">
        <v>399</v>
      </c>
      <c r="G125" s="2">
        <v>-0.371903263198752</v>
      </c>
      <c r="H125" s="2">
        <v>0.767296975436132</v>
      </c>
    </row>
    <row r="126" spans="1:8">
      <c r="A126" s="1" t="s">
        <v>108</v>
      </c>
      <c r="B126" s="2">
        <v>0.004</v>
      </c>
      <c r="C126" s="1" t="s">
        <v>110</v>
      </c>
      <c r="D126" s="2">
        <v>0.898121804798333</v>
      </c>
      <c r="E126" s="2">
        <v>0.00445373887887977</v>
      </c>
      <c r="F126" s="1" t="s">
        <v>399</v>
      </c>
      <c r="G126" s="2">
        <v>-1.27893237109756</v>
      </c>
      <c r="H126" s="2">
        <v>2.27292642078765</v>
      </c>
    </row>
    <row r="127" spans="1:8">
      <c r="A127" s="1" t="s">
        <v>160</v>
      </c>
      <c r="B127" s="2">
        <v>0.8</v>
      </c>
      <c r="C127" s="1" t="s">
        <v>114</v>
      </c>
      <c r="D127" s="2">
        <v>0.919960813526214</v>
      </c>
      <c r="E127" s="2">
        <v>0.8</v>
      </c>
      <c r="F127" s="1" t="s">
        <v>399</v>
      </c>
      <c r="G127" s="2">
        <v>-0.9675</v>
      </c>
      <c r="H127" s="2">
        <v>1.7405</v>
      </c>
    </row>
    <row r="128" spans="1:8">
      <c r="A128" s="1" t="s">
        <v>184</v>
      </c>
      <c r="B128" s="2">
        <v>1.94674418604651</v>
      </c>
      <c r="C128" s="1" t="s">
        <v>110</v>
      </c>
      <c r="D128" s="2">
        <v>0.865259126364145</v>
      </c>
      <c r="E128" s="2">
        <v>2.24989731599459</v>
      </c>
      <c r="F128" s="1" t="s">
        <v>399</v>
      </c>
      <c r="G128" s="2">
        <v>-1.4516067198867</v>
      </c>
      <c r="H128" s="2">
        <v>2.47096403193202</v>
      </c>
    </row>
    <row r="129" spans="1:8">
      <c r="A129" s="1" t="s">
        <v>184</v>
      </c>
      <c r="B129" s="2">
        <v>6.90209302325581</v>
      </c>
      <c r="C129" s="1" t="s">
        <v>110</v>
      </c>
      <c r="D129" s="2">
        <v>0.865259126364145</v>
      </c>
      <c r="E129" s="2">
        <v>7.97690866579899</v>
      </c>
      <c r="F129" s="1" t="s">
        <v>400</v>
      </c>
      <c r="G129" s="2">
        <v>-1.4516067198867</v>
      </c>
      <c r="H129" s="2">
        <v>2.47096403193202</v>
      </c>
    </row>
    <row r="130" spans="1:8">
      <c r="A130" s="1" t="s">
        <v>184</v>
      </c>
      <c r="B130" s="2">
        <v>0.619418604651162</v>
      </c>
      <c r="C130" s="1" t="s">
        <v>110</v>
      </c>
      <c r="D130" s="2">
        <v>0.865259126364145</v>
      </c>
      <c r="E130" s="2">
        <v>0.71587641872555</v>
      </c>
      <c r="F130" s="1" t="s">
        <v>399</v>
      </c>
      <c r="G130" s="2">
        <v>-1.4516067198867</v>
      </c>
      <c r="H130" s="2">
        <v>2.47096403193202</v>
      </c>
    </row>
    <row r="131" spans="1:8">
      <c r="A131" s="1" t="s">
        <v>184</v>
      </c>
      <c r="B131" s="2">
        <v>8.49488372093023</v>
      </c>
      <c r="C131" s="1" t="s">
        <v>110</v>
      </c>
      <c r="D131" s="2">
        <v>0.865259126364145</v>
      </c>
      <c r="E131" s="2">
        <v>9.81773374252184</v>
      </c>
      <c r="F131" s="1" t="s">
        <v>400</v>
      </c>
      <c r="G131" s="2">
        <v>-1.4516067198867</v>
      </c>
      <c r="H131" s="2">
        <v>2.47096403193202</v>
      </c>
    </row>
    <row r="132" spans="1:8">
      <c r="A132" s="1" t="s">
        <v>154</v>
      </c>
      <c r="B132" s="2">
        <v>0.775730337078652</v>
      </c>
      <c r="C132" s="1" t="s">
        <v>110</v>
      </c>
      <c r="D132" s="2">
        <v>0.945470448484017</v>
      </c>
      <c r="E132" s="2">
        <v>0.820470209642693</v>
      </c>
      <c r="F132" s="1" t="s">
        <v>400</v>
      </c>
      <c r="G132" s="2">
        <v>-0.371903263198752</v>
      </c>
      <c r="H132" s="2">
        <v>0.767296975436132</v>
      </c>
    </row>
    <row r="133" spans="1:8">
      <c r="A133" s="1" t="s">
        <v>154</v>
      </c>
      <c r="B133" s="2">
        <v>0.581797752808989</v>
      </c>
      <c r="C133" s="1" t="s">
        <v>110</v>
      </c>
      <c r="D133" s="2">
        <v>0.945470448484017</v>
      </c>
      <c r="E133" s="2">
        <v>0.615352657232019</v>
      </c>
      <c r="F133" s="1" t="s">
        <v>399</v>
      </c>
      <c r="G133" s="2">
        <v>-0.371903263198752</v>
      </c>
      <c r="H133" s="2">
        <v>0.767296975436132</v>
      </c>
    </row>
    <row r="134" spans="1:8">
      <c r="A134" s="1" t="s">
        <v>154</v>
      </c>
      <c r="B134" s="2">
        <v>1.26056179775281</v>
      </c>
      <c r="C134" s="1" t="s">
        <v>110</v>
      </c>
      <c r="D134" s="2">
        <v>0.945470448484017</v>
      </c>
      <c r="E134" s="2">
        <v>1.33326409066938</v>
      </c>
      <c r="F134" s="1" t="s">
        <v>400</v>
      </c>
      <c r="G134" s="2">
        <v>-0.371903263198752</v>
      </c>
      <c r="H134" s="2">
        <v>0.767296975436132</v>
      </c>
    </row>
    <row r="135" spans="1:8">
      <c r="A135" s="1" t="s">
        <v>154</v>
      </c>
      <c r="B135" s="2">
        <v>5.81797752808989</v>
      </c>
      <c r="C135" s="1" t="s">
        <v>110</v>
      </c>
      <c r="D135" s="2">
        <v>0.945470448484017</v>
      </c>
      <c r="E135" s="2">
        <v>6.15352657232019</v>
      </c>
      <c r="F135" s="1" t="s">
        <v>400</v>
      </c>
      <c r="G135" s="2">
        <v>-0.371903263198752</v>
      </c>
      <c r="H135" s="2">
        <v>0.767296975436132</v>
      </c>
    </row>
    <row r="136" spans="1:8">
      <c r="A136" s="1" t="s">
        <v>184</v>
      </c>
      <c r="B136" s="2">
        <v>20.6253642384106</v>
      </c>
      <c r="C136" s="1" t="s">
        <v>110</v>
      </c>
      <c r="D136" s="2">
        <v>0.865259126364145</v>
      </c>
      <c r="E136" s="2">
        <v>23.8372108539083</v>
      </c>
      <c r="F136" s="1" t="s">
        <v>400</v>
      </c>
      <c r="G136" s="2">
        <v>-1.4516067198867</v>
      </c>
      <c r="H136" s="2">
        <v>2.47096403193202</v>
      </c>
    </row>
    <row r="137" spans="1:8">
      <c r="A137" s="1" t="s">
        <v>184</v>
      </c>
      <c r="B137" s="2">
        <v>0.81523178807947</v>
      </c>
      <c r="C137" s="1" t="s">
        <v>110</v>
      </c>
      <c r="D137" s="2">
        <v>0.865259126364145</v>
      </c>
      <c r="E137" s="2">
        <v>0.942182247190051</v>
      </c>
      <c r="F137" s="1" t="s">
        <v>399</v>
      </c>
      <c r="G137" s="2">
        <v>-1.4516067198867</v>
      </c>
      <c r="H137" s="2">
        <v>2.47096403193202</v>
      </c>
    </row>
    <row r="138" spans="1:8">
      <c r="A138" s="1" t="s">
        <v>184</v>
      </c>
      <c r="B138" s="2">
        <v>0.489139072847682</v>
      </c>
      <c r="C138" s="1" t="s">
        <v>110</v>
      </c>
      <c r="D138" s="2">
        <v>0.865259126364145</v>
      </c>
      <c r="E138" s="2">
        <v>0.56530934831403</v>
      </c>
      <c r="F138" s="1" t="s">
        <v>399</v>
      </c>
      <c r="G138" s="2">
        <v>-1.4516067198867</v>
      </c>
      <c r="H138" s="2">
        <v>2.47096403193202</v>
      </c>
    </row>
    <row r="139" spans="1:8">
      <c r="A139" s="1" t="s">
        <v>184</v>
      </c>
      <c r="B139" s="2">
        <v>2.403</v>
      </c>
      <c r="C139" s="1" t="s">
        <v>110</v>
      </c>
      <c r="D139" s="2">
        <v>0.865259126364145</v>
      </c>
      <c r="E139" s="2">
        <v>2.7772027208745</v>
      </c>
      <c r="F139" s="1" t="s">
        <v>400</v>
      </c>
      <c r="G139" s="2">
        <v>-1.4516067198867</v>
      </c>
      <c r="H139" s="2">
        <v>2.47096403193202</v>
      </c>
    </row>
    <row r="140" spans="1:8">
      <c r="A140" s="1" t="s">
        <v>112</v>
      </c>
      <c r="B140" s="2">
        <v>0.713333333333333</v>
      </c>
      <c r="C140" s="1" t="s">
        <v>110</v>
      </c>
      <c r="D140" s="2">
        <v>0.995980980414355</v>
      </c>
      <c r="E140" s="2">
        <v>0.716211802595434</v>
      </c>
      <c r="F140" s="1" t="s">
        <v>399</v>
      </c>
      <c r="G140" s="2">
        <v>-3.3755808488784</v>
      </c>
      <c r="H140" s="2">
        <v>6.82112077050964</v>
      </c>
    </row>
    <row r="141" spans="1:8">
      <c r="A141" s="1" t="s">
        <v>112</v>
      </c>
      <c r="B141" s="2">
        <v>1.21266666666667</v>
      </c>
      <c r="C141" s="1" t="s">
        <v>110</v>
      </c>
      <c r="D141" s="2">
        <v>0.995980980414355</v>
      </c>
      <c r="E141" s="2">
        <v>1.21756006441224</v>
      </c>
      <c r="F141" s="1" t="s">
        <v>399</v>
      </c>
      <c r="G141" s="2">
        <v>-3.3755808488784</v>
      </c>
      <c r="H141" s="2">
        <v>6.82112077050964</v>
      </c>
    </row>
    <row r="142" spans="1:8">
      <c r="A142" s="1" t="s">
        <v>112</v>
      </c>
      <c r="B142" s="2">
        <v>5.06466666666666</v>
      </c>
      <c r="C142" s="1" t="s">
        <v>110</v>
      </c>
      <c r="D142" s="2">
        <v>0.995980980414355</v>
      </c>
      <c r="E142" s="2">
        <v>5.08510379842758</v>
      </c>
      <c r="F142" s="1" t="s">
        <v>399</v>
      </c>
      <c r="G142" s="2">
        <v>-3.3755808488784</v>
      </c>
      <c r="H142" s="2">
        <v>6.82112077050964</v>
      </c>
    </row>
    <row r="143" spans="1:8">
      <c r="A143" s="1" t="s">
        <v>126</v>
      </c>
      <c r="B143" s="2">
        <v>1.72285714285714</v>
      </c>
      <c r="C143" s="1" t="s">
        <v>110</v>
      </c>
      <c r="D143" s="2">
        <v>0.911358608023812</v>
      </c>
      <c r="E143" s="2">
        <v>1.89042724531124</v>
      </c>
      <c r="F143" s="1" t="s">
        <v>399</v>
      </c>
      <c r="G143" s="2">
        <v>-2.41700054652004</v>
      </c>
      <c r="H143" s="2">
        <v>4.24620837687132</v>
      </c>
    </row>
    <row r="144" spans="1:8">
      <c r="A144" s="1" t="s">
        <v>126</v>
      </c>
      <c r="B144" s="2">
        <v>0.957142857142857</v>
      </c>
      <c r="C144" s="1" t="s">
        <v>110</v>
      </c>
      <c r="D144" s="2">
        <v>0.911358608023812</v>
      </c>
      <c r="E144" s="2">
        <v>1.05023735850624</v>
      </c>
      <c r="F144" s="1" t="s">
        <v>399</v>
      </c>
      <c r="G144" s="2">
        <v>-2.41700054652004</v>
      </c>
      <c r="H144" s="2">
        <v>4.24620837687132</v>
      </c>
    </row>
    <row r="145" spans="1:8">
      <c r="A145" s="1" t="s">
        <v>249</v>
      </c>
      <c r="B145" s="2">
        <v>1.32964824120603</v>
      </c>
      <c r="C145" s="1" t="s">
        <v>110</v>
      </c>
      <c r="D145" s="2">
        <v>0.919960813526214</v>
      </c>
      <c r="E145" s="2">
        <v>1.44533138983331</v>
      </c>
      <c r="F145" s="1" t="s">
        <v>399</v>
      </c>
      <c r="G145" s="2">
        <v>-1.58689734456032</v>
      </c>
      <c r="H145" s="2">
        <v>3.0168975350695</v>
      </c>
    </row>
    <row r="146" spans="1:8">
      <c r="A146" s="1" t="s">
        <v>249</v>
      </c>
      <c r="B146" s="2">
        <v>1.99447236180905</v>
      </c>
      <c r="C146" s="1" t="s">
        <v>110</v>
      </c>
      <c r="D146" s="2">
        <v>0.919960813526214</v>
      </c>
      <c r="E146" s="2">
        <v>2.16799708474998</v>
      </c>
      <c r="F146" s="1" t="s">
        <v>399</v>
      </c>
      <c r="G146" s="2">
        <v>-1.58689734456032</v>
      </c>
      <c r="H146" s="2">
        <v>3.0168975350695</v>
      </c>
    </row>
    <row r="147" spans="1:8">
      <c r="A147" s="1" t="s">
        <v>249</v>
      </c>
      <c r="B147" s="2">
        <v>1.04472361809045</v>
      </c>
      <c r="C147" s="1" t="s">
        <v>110</v>
      </c>
      <c r="D147" s="2">
        <v>0.919960813526214</v>
      </c>
      <c r="E147" s="2">
        <v>1.13561752058332</v>
      </c>
      <c r="F147" s="1" t="s">
        <v>399</v>
      </c>
      <c r="G147" s="2">
        <v>-1.58689734456032</v>
      </c>
      <c r="H147" s="2">
        <v>3.0168975350695</v>
      </c>
    </row>
    <row r="148" spans="1:8">
      <c r="A148" s="1" t="s">
        <v>108</v>
      </c>
      <c r="B148" s="2">
        <v>0.120860343714446</v>
      </c>
      <c r="C148" s="1" t="s">
        <v>110</v>
      </c>
      <c r="D148" s="2">
        <v>0.898121804798333</v>
      </c>
      <c r="E148" s="2">
        <v>0.13457010292895</v>
      </c>
      <c r="F148" s="1" t="s">
        <v>399</v>
      </c>
      <c r="G148" s="2">
        <v>-1.27893237109756</v>
      </c>
      <c r="H148" s="2">
        <v>2.27292642078765</v>
      </c>
    </row>
    <row r="149" spans="1:8">
      <c r="A149" s="1" t="s">
        <v>139</v>
      </c>
      <c r="B149" s="2">
        <v>0.312</v>
      </c>
      <c r="C149" s="1" t="s">
        <v>110</v>
      </c>
      <c r="D149" s="2">
        <v>0.919960813526214</v>
      </c>
      <c r="E149" s="2">
        <v>0.33914488031735</v>
      </c>
      <c r="F149" s="1" t="s">
        <v>399</v>
      </c>
      <c r="G149" s="2">
        <v>-2.67038668339085</v>
      </c>
      <c r="H149" s="2">
        <v>4.6462391012346</v>
      </c>
    </row>
    <row r="150" spans="1:8">
      <c r="A150" s="1" t="s">
        <v>108</v>
      </c>
      <c r="B150" s="2">
        <v>1.7</v>
      </c>
      <c r="C150" s="1" t="s">
        <v>110</v>
      </c>
      <c r="D150" s="2">
        <v>0.898121804798333</v>
      </c>
      <c r="E150" s="2">
        <v>1.8928390235239</v>
      </c>
      <c r="F150" s="1" t="s">
        <v>399</v>
      </c>
      <c r="G150" s="2">
        <v>-1.27893237109756</v>
      </c>
      <c r="H150" s="2">
        <v>2.27292642078765</v>
      </c>
    </row>
    <row r="151" spans="1:8">
      <c r="A151" s="1" t="s">
        <v>136</v>
      </c>
      <c r="B151" s="2">
        <v>1.4</v>
      </c>
      <c r="C151" s="1" t="s">
        <v>110</v>
      </c>
      <c r="D151" s="2">
        <v>0.919960813526214</v>
      </c>
      <c r="E151" s="2">
        <v>1.52180395014195</v>
      </c>
      <c r="F151" s="1" t="s">
        <v>399</v>
      </c>
      <c r="G151" s="2">
        <v>-1.36343949725763</v>
      </c>
      <c r="H151" s="2">
        <v>2.6985042681358</v>
      </c>
    </row>
    <row r="152" spans="1:8">
      <c r="A152" s="1" t="s">
        <v>117</v>
      </c>
      <c r="B152" s="2">
        <v>1</v>
      </c>
      <c r="C152" s="1" t="s">
        <v>110</v>
      </c>
      <c r="D152" s="2">
        <v>0.992403236892688</v>
      </c>
      <c r="E152" s="2">
        <v>1.0076549156884</v>
      </c>
      <c r="F152" s="1" t="s">
        <v>399</v>
      </c>
      <c r="G152" s="2">
        <v>-1.14230280379727</v>
      </c>
      <c r="H152" s="2">
        <v>2.05579236761459</v>
      </c>
    </row>
    <row r="153" spans="1:8">
      <c r="A153" s="1" t="s">
        <v>112</v>
      </c>
      <c r="B153" s="2">
        <v>2.4</v>
      </c>
      <c r="C153" s="1" t="s">
        <v>110</v>
      </c>
      <c r="D153" s="2">
        <v>0.995980980414355</v>
      </c>
      <c r="E153" s="2">
        <v>2.40968456947997</v>
      </c>
      <c r="F153" s="1" t="s">
        <v>399</v>
      </c>
      <c r="G153" s="2">
        <v>-3.3755808488784</v>
      </c>
      <c r="H153" s="2">
        <v>6.82112077050964</v>
      </c>
    </row>
    <row r="154" spans="1:8">
      <c r="A154" s="1" t="s">
        <v>112</v>
      </c>
      <c r="B154" s="2">
        <v>0.2</v>
      </c>
      <c r="C154" s="1" t="s">
        <v>110</v>
      </c>
      <c r="D154" s="2">
        <v>0.995980980414355</v>
      </c>
      <c r="E154" s="2">
        <v>0.200807047456664</v>
      </c>
      <c r="F154" s="1" t="s">
        <v>399</v>
      </c>
      <c r="G154" s="2">
        <v>-3.3755808488784</v>
      </c>
      <c r="H154" s="2">
        <v>6.82112077050964</v>
      </c>
    </row>
    <row r="155" spans="1:8">
      <c r="A155" s="1" t="s">
        <v>108</v>
      </c>
      <c r="B155" s="2">
        <v>8</v>
      </c>
      <c r="C155" s="1" t="s">
        <v>110</v>
      </c>
      <c r="D155" s="2">
        <v>0.898121804798333</v>
      </c>
      <c r="E155" s="2">
        <v>8.90747775775954</v>
      </c>
      <c r="F155" s="1" t="s">
        <v>400</v>
      </c>
      <c r="G155" s="2">
        <v>-1.27893237109756</v>
      </c>
      <c r="H155" s="2">
        <v>2.27292642078765</v>
      </c>
    </row>
    <row r="156" spans="1:8">
      <c r="A156" s="1" t="s">
        <v>117</v>
      </c>
      <c r="B156" s="2">
        <v>0.1</v>
      </c>
      <c r="C156" s="1" t="s">
        <v>110</v>
      </c>
      <c r="D156" s="2">
        <v>0.992403236892688</v>
      </c>
      <c r="E156" s="2">
        <v>0.10076549156884</v>
      </c>
      <c r="F156" s="1" t="s">
        <v>399</v>
      </c>
      <c r="G156" s="2">
        <v>-1.14230280379727</v>
      </c>
      <c r="H156" s="2">
        <v>2.05579236761459</v>
      </c>
    </row>
    <row r="157" spans="1:8">
      <c r="A157" s="1" t="s">
        <v>117</v>
      </c>
      <c r="B157" s="2">
        <v>0.1</v>
      </c>
      <c r="C157" s="1" t="s">
        <v>110</v>
      </c>
      <c r="D157" s="2">
        <v>0.992403236892688</v>
      </c>
      <c r="E157" s="2">
        <v>0.10076549156884</v>
      </c>
      <c r="F157" s="1" t="s">
        <v>399</v>
      </c>
      <c r="G157" s="2">
        <v>-1.14230280379727</v>
      </c>
      <c r="H157" s="2">
        <v>2.05579236761459</v>
      </c>
    </row>
    <row r="158" spans="1:8">
      <c r="A158" s="1" t="s">
        <v>126</v>
      </c>
      <c r="B158" s="2">
        <v>0.3</v>
      </c>
      <c r="C158" s="1" t="s">
        <v>110</v>
      </c>
      <c r="D158" s="2">
        <v>0.911358608023812</v>
      </c>
      <c r="E158" s="2">
        <v>0.329178873561659</v>
      </c>
      <c r="F158" s="1" t="s">
        <v>399</v>
      </c>
      <c r="G158" s="2">
        <v>-2.41700054652004</v>
      </c>
      <c r="H158" s="2">
        <v>4.24620837687132</v>
      </c>
    </row>
    <row r="159" spans="1:8">
      <c r="A159" s="1" t="s">
        <v>108</v>
      </c>
      <c r="B159" s="2">
        <v>0.3</v>
      </c>
      <c r="C159" s="1" t="s">
        <v>110</v>
      </c>
      <c r="D159" s="2">
        <v>0.898121804798333</v>
      </c>
      <c r="E159" s="2">
        <v>0.334030415915982</v>
      </c>
      <c r="F159" s="1" t="s">
        <v>399</v>
      </c>
      <c r="G159" s="2">
        <v>-1.27893237109756</v>
      </c>
      <c r="H159" s="2">
        <v>2.27292642078765</v>
      </c>
    </row>
    <row r="160" spans="1:8">
      <c r="A160" s="1" t="s">
        <v>112</v>
      </c>
      <c r="B160" s="2">
        <v>20.6896551724138</v>
      </c>
      <c r="C160" s="1" t="s">
        <v>110</v>
      </c>
      <c r="D160" s="2">
        <v>0.995980980414355</v>
      </c>
      <c r="E160" s="2">
        <v>20.7731428403446</v>
      </c>
      <c r="F160" s="1" t="s">
        <v>400</v>
      </c>
      <c r="G160" s="2">
        <v>-3.3755808488784</v>
      </c>
      <c r="H160" s="2">
        <v>6.82112077050964</v>
      </c>
    </row>
    <row r="161" spans="1:8">
      <c r="A161" s="1" t="s">
        <v>117</v>
      </c>
      <c r="B161" s="2">
        <v>0.837209302325581</v>
      </c>
      <c r="C161" s="1" t="s">
        <v>110</v>
      </c>
      <c r="D161" s="2">
        <v>0.992403236892688</v>
      </c>
      <c r="E161" s="2">
        <v>0.84361806894843</v>
      </c>
      <c r="F161" s="1" t="s">
        <v>399</v>
      </c>
      <c r="G161" s="2">
        <v>-1.14230280379727</v>
      </c>
      <c r="H161" s="2">
        <v>2.05579236761459</v>
      </c>
    </row>
    <row r="162" spans="1:8">
      <c r="A162" s="1" t="s">
        <v>117</v>
      </c>
      <c r="B162" s="2">
        <v>0.802325581395349</v>
      </c>
      <c r="C162" s="1" t="s">
        <v>110</v>
      </c>
      <c r="D162" s="2">
        <v>0.992403236892688</v>
      </c>
      <c r="E162" s="2">
        <v>0.80846731607558</v>
      </c>
      <c r="F162" s="1" t="s">
        <v>399</v>
      </c>
      <c r="G162" s="2">
        <v>-1.14230280379727</v>
      </c>
      <c r="H162" s="2">
        <v>2.05579236761459</v>
      </c>
    </row>
    <row r="163" spans="1:8">
      <c r="A163" s="1" t="s">
        <v>117</v>
      </c>
      <c r="B163" s="2">
        <v>0.13953488372093</v>
      </c>
      <c r="C163" s="1" t="s">
        <v>110</v>
      </c>
      <c r="D163" s="2">
        <v>0.992403236892688</v>
      </c>
      <c r="E163" s="2">
        <v>0.140603011491405</v>
      </c>
      <c r="F163" s="1" t="s">
        <v>399</v>
      </c>
      <c r="G163" s="2">
        <v>-1.14230280379727</v>
      </c>
      <c r="H163" s="2">
        <v>2.05579236761459</v>
      </c>
    </row>
    <row r="164" spans="1:8">
      <c r="A164" s="1" t="s">
        <v>137</v>
      </c>
      <c r="B164" s="2">
        <v>2.8</v>
      </c>
      <c r="C164" s="1" t="s">
        <v>110</v>
      </c>
      <c r="D164" s="2">
        <v>0.898085980559174</v>
      </c>
      <c r="E164" s="2">
        <v>3.11774157554117</v>
      </c>
      <c r="F164" s="1" t="s">
        <v>400</v>
      </c>
      <c r="G164" s="2">
        <v>-1.69456803813426</v>
      </c>
      <c r="H164" s="2">
        <v>3.02474082288056</v>
      </c>
    </row>
    <row r="165" spans="1:8">
      <c r="A165" s="1" t="s">
        <v>137</v>
      </c>
      <c r="B165" s="2">
        <v>0.22</v>
      </c>
      <c r="C165" s="1" t="s">
        <v>114</v>
      </c>
      <c r="D165" s="2">
        <v>0.898085980559174</v>
      </c>
      <c r="E165" s="2">
        <v>0.22</v>
      </c>
      <c r="F165" s="1" t="s">
        <v>399</v>
      </c>
      <c r="G165" s="2">
        <v>-1.69456803813426</v>
      </c>
      <c r="H165" s="2">
        <v>3.02474082288056</v>
      </c>
    </row>
    <row r="166" spans="1:8">
      <c r="A166" s="1" t="s">
        <v>112</v>
      </c>
      <c r="B166" s="2">
        <v>2.66049</v>
      </c>
      <c r="C166" s="1" t="s">
        <v>110</v>
      </c>
      <c r="D166" s="2">
        <v>0.995980980414355</v>
      </c>
      <c r="E166" s="2">
        <v>2.6712257084399</v>
      </c>
      <c r="F166" s="1" t="s">
        <v>399</v>
      </c>
      <c r="G166" s="2">
        <v>-3.3755808488784</v>
      </c>
      <c r="H166" s="2">
        <v>6.82112077050964</v>
      </c>
    </row>
    <row r="167" spans="1:8">
      <c r="A167" s="1" t="s">
        <v>263</v>
      </c>
      <c r="B167" s="2">
        <v>0.00702046332046332</v>
      </c>
      <c r="C167" s="1" t="s">
        <v>114</v>
      </c>
      <c r="D167" s="2">
        <v>0.919960813526214</v>
      </c>
      <c r="E167" s="2">
        <v>0.00702046332046332</v>
      </c>
      <c r="F167" s="1" t="s">
        <v>399</v>
      </c>
      <c r="G167" s="2">
        <v>-0.0501657318184515</v>
      </c>
      <c r="H167" s="2">
        <v>0.216415877141424</v>
      </c>
    </row>
    <row r="168" spans="1:8">
      <c r="A168" s="1" t="s">
        <v>108</v>
      </c>
      <c r="B168" s="2">
        <v>1.3</v>
      </c>
      <c r="C168" s="1" t="s">
        <v>110</v>
      </c>
      <c r="D168" s="2">
        <v>0.898121804798333</v>
      </c>
      <c r="E168" s="2">
        <v>1.44746513563592</v>
      </c>
      <c r="F168" s="1" t="s">
        <v>399</v>
      </c>
      <c r="G168" s="2">
        <v>-1.27893237109756</v>
      </c>
      <c r="H168" s="2">
        <v>2.27292642078765</v>
      </c>
    </row>
    <row r="169" spans="1:8">
      <c r="A169" s="1" t="s">
        <v>108</v>
      </c>
      <c r="B169" s="2">
        <v>1</v>
      </c>
      <c r="C169" s="1" t="s">
        <v>110</v>
      </c>
      <c r="D169" s="2">
        <v>0.898121804798333</v>
      </c>
      <c r="E169" s="2">
        <v>1.11343471971994</v>
      </c>
      <c r="F169" s="1" t="s">
        <v>399</v>
      </c>
      <c r="G169" s="2">
        <v>-1.27893237109756</v>
      </c>
      <c r="H169" s="2">
        <v>2.27292642078765</v>
      </c>
    </row>
    <row r="170" spans="1:8">
      <c r="A170" s="1" t="s">
        <v>137</v>
      </c>
      <c r="B170" s="2">
        <v>1.7</v>
      </c>
      <c r="C170" s="1" t="s">
        <v>110</v>
      </c>
      <c r="D170" s="2">
        <v>0.898085980559174</v>
      </c>
      <c r="E170" s="2">
        <v>1.89291452800714</v>
      </c>
      <c r="F170" s="1" t="s">
        <v>399</v>
      </c>
      <c r="G170" s="2">
        <v>-1.69456803813426</v>
      </c>
      <c r="H170" s="2">
        <v>3.02474082288056</v>
      </c>
    </row>
    <row r="171" spans="1:8">
      <c r="A171" s="1" t="s">
        <v>137</v>
      </c>
      <c r="B171" s="2">
        <v>0.09</v>
      </c>
      <c r="C171" s="1" t="s">
        <v>110</v>
      </c>
      <c r="D171" s="2">
        <v>0.898085980559174</v>
      </c>
      <c r="E171" s="2">
        <v>0.100213122070966</v>
      </c>
      <c r="F171" s="1" t="s">
        <v>399</v>
      </c>
      <c r="G171" s="2">
        <v>-1.69456803813426</v>
      </c>
      <c r="H171" s="2">
        <v>3.02474082288056</v>
      </c>
    </row>
    <row r="172" spans="1:8">
      <c r="A172" s="1" t="s">
        <v>126</v>
      </c>
      <c r="B172" s="2">
        <v>0.102136363636364</v>
      </c>
      <c r="C172" s="1" t="s">
        <v>114</v>
      </c>
      <c r="D172" s="2">
        <v>0.911358608023812</v>
      </c>
      <c r="E172" s="2">
        <v>0.102136363636364</v>
      </c>
      <c r="F172" s="1" t="s">
        <v>399</v>
      </c>
      <c r="G172" s="2">
        <v>-2.41700054652004</v>
      </c>
      <c r="H172" s="2">
        <v>4.24620837687132</v>
      </c>
    </row>
    <row r="173" spans="1:8">
      <c r="A173" s="1" t="s">
        <v>108</v>
      </c>
      <c r="B173" s="2">
        <v>0.0799272727272727</v>
      </c>
      <c r="C173" s="1" t="s">
        <v>114</v>
      </c>
      <c r="D173" s="2">
        <v>0.898121804798333</v>
      </c>
      <c r="E173" s="2">
        <v>0.0799272727272727</v>
      </c>
      <c r="F173" s="1" t="s">
        <v>399</v>
      </c>
      <c r="G173" s="2">
        <v>-1.27893237109756</v>
      </c>
      <c r="H173" s="2">
        <v>2.27292642078765</v>
      </c>
    </row>
    <row r="174" spans="1:8">
      <c r="A174" s="1" t="s">
        <v>117</v>
      </c>
      <c r="B174" s="2">
        <v>0.217138</v>
      </c>
      <c r="C174" s="1" t="s">
        <v>110</v>
      </c>
      <c r="D174" s="2">
        <v>0.992403236892688</v>
      </c>
      <c r="E174" s="2">
        <v>0.218800173082749</v>
      </c>
      <c r="F174" s="1" t="s">
        <v>399</v>
      </c>
      <c r="G174" s="2">
        <v>-1.14230280379727</v>
      </c>
      <c r="H174" s="2">
        <v>2.05579236761459</v>
      </c>
    </row>
    <row r="175" spans="1:8">
      <c r="A175" s="1" t="s">
        <v>117</v>
      </c>
      <c r="B175" s="2">
        <v>0.229264</v>
      </c>
      <c r="C175" s="1" t="s">
        <v>110</v>
      </c>
      <c r="D175" s="2">
        <v>0.992403236892688</v>
      </c>
      <c r="E175" s="2">
        <v>0.231018996590386</v>
      </c>
      <c r="F175" s="1" t="s">
        <v>399</v>
      </c>
      <c r="G175" s="2">
        <v>-1.14230280379727</v>
      </c>
      <c r="H175" s="2">
        <v>2.05579236761459</v>
      </c>
    </row>
    <row r="176" spans="1:8">
      <c r="A176" s="1" t="s">
        <v>117</v>
      </c>
      <c r="B176" s="2">
        <v>0.05655</v>
      </c>
      <c r="C176" s="1" t="s">
        <v>110</v>
      </c>
      <c r="D176" s="2">
        <v>0.992403236892688</v>
      </c>
      <c r="E176" s="2">
        <v>0.0569828854821792</v>
      </c>
      <c r="F176" s="1" t="s">
        <v>399</v>
      </c>
      <c r="G176" s="2">
        <v>-1.14230280379727</v>
      </c>
      <c r="H176" s="2">
        <v>2.05579236761459</v>
      </c>
    </row>
    <row r="177" spans="1:8">
      <c r="A177" s="1" t="s">
        <v>112</v>
      </c>
      <c r="B177" s="2">
        <v>0.4</v>
      </c>
      <c r="C177" s="1" t="s">
        <v>110</v>
      </c>
      <c r="D177" s="2">
        <v>0.995980980414355</v>
      </c>
      <c r="E177" s="2">
        <v>0.401614094913328</v>
      </c>
      <c r="F177" s="1" t="s">
        <v>399</v>
      </c>
      <c r="G177" s="2">
        <v>-3.3755808488784</v>
      </c>
      <c r="H177" s="2">
        <v>6.82112077050964</v>
      </c>
    </row>
    <row r="178" spans="1:8">
      <c r="A178" s="1" t="s">
        <v>108</v>
      </c>
      <c r="B178" s="2">
        <v>0.08</v>
      </c>
      <c r="C178" s="1" t="s">
        <v>110</v>
      </c>
      <c r="D178" s="2">
        <v>0.898121804798333</v>
      </c>
      <c r="E178" s="2">
        <v>0.0890747775775954</v>
      </c>
      <c r="F178" s="1" t="s">
        <v>399</v>
      </c>
      <c r="G178" s="2">
        <v>-1.27893237109756</v>
      </c>
      <c r="H178" s="2">
        <v>2.27292642078765</v>
      </c>
    </row>
    <row r="179" spans="1:8">
      <c r="A179" s="1" t="s">
        <v>108</v>
      </c>
      <c r="B179" s="2">
        <v>0.05</v>
      </c>
      <c r="C179" s="1" t="s">
        <v>110</v>
      </c>
      <c r="D179" s="2">
        <v>0.898121804798333</v>
      </c>
      <c r="E179" s="2">
        <v>0.0556717359859971</v>
      </c>
      <c r="F179" s="1" t="s">
        <v>399</v>
      </c>
      <c r="G179" s="2">
        <v>-1.27893237109756</v>
      </c>
      <c r="H179" s="2">
        <v>2.27292642078765</v>
      </c>
    </row>
    <row r="180" spans="1:8">
      <c r="A180" s="1" t="s">
        <v>108</v>
      </c>
      <c r="B180" s="2">
        <v>0.01</v>
      </c>
      <c r="C180" s="1" t="s">
        <v>110</v>
      </c>
      <c r="D180" s="2">
        <v>0.898121804798333</v>
      </c>
      <c r="E180" s="2">
        <v>0.0111343471971994</v>
      </c>
      <c r="F180" s="1" t="s">
        <v>399</v>
      </c>
      <c r="G180" s="2">
        <v>-1.27893237109756</v>
      </c>
      <c r="H180" s="2">
        <v>2.27292642078765</v>
      </c>
    </row>
    <row r="181" spans="1:8">
      <c r="A181" s="1" t="s">
        <v>126</v>
      </c>
      <c r="B181" s="2">
        <v>1.76</v>
      </c>
      <c r="C181" s="1" t="s">
        <v>114</v>
      </c>
      <c r="D181" s="2">
        <v>0.911358608023812</v>
      </c>
      <c r="E181" s="2">
        <v>1.76</v>
      </c>
      <c r="F181" s="1" t="s">
        <v>399</v>
      </c>
      <c r="G181" s="2">
        <v>-2.41700054652004</v>
      </c>
      <c r="H181" s="2">
        <v>4.24620837687132</v>
      </c>
    </row>
    <row r="182" spans="1:8">
      <c r="A182" s="1" t="s">
        <v>126</v>
      </c>
      <c r="B182" s="2">
        <v>1.49</v>
      </c>
      <c r="C182" s="1" t="s">
        <v>114</v>
      </c>
      <c r="D182" s="2">
        <v>0.911358608023812</v>
      </c>
      <c r="E182" s="2">
        <v>1.49</v>
      </c>
      <c r="F182" s="1" t="s">
        <v>399</v>
      </c>
      <c r="G182" s="2">
        <v>-2.41700054652004</v>
      </c>
      <c r="H182" s="2">
        <v>4.24620837687132</v>
      </c>
    </row>
    <row r="183" spans="1:8">
      <c r="A183" s="1" t="s">
        <v>126</v>
      </c>
      <c r="B183" s="2">
        <v>2</v>
      </c>
      <c r="C183" s="1" t="s">
        <v>114</v>
      </c>
      <c r="D183" s="2">
        <v>0.911358608023812</v>
      </c>
      <c r="E183" s="2">
        <v>2</v>
      </c>
      <c r="F183" s="1" t="s">
        <v>399</v>
      </c>
      <c r="G183" s="2">
        <v>-2.41700054652004</v>
      </c>
      <c r="H183" s="2">
        <v>4.24620837687132</v>
      </c>
    </row>
    <row r="184" spans="1:8">
      <c r="A184" s="1" t="s">
        <v>126</v>
      </c>
      <c r="B184" s="2">
        <v>1.76</v>
      </c>
      <c r="C184" s="1" t="s">
        <v>114</v>
      </c>
      <c r="D184" s="2">
        <v>0.911358608023812</v>
      </c>
      <c r="E184" s="2">
        <v>1.76</v>
      </c>
      <c r="F184" s="1" t="s">
        <v>399</v>
      </c>
      <c r="G184" s="2">
        <v>-2.41700054652004</v>
      </c>
      <c r="H184" s="2">
        <v>4.24620837687132</v>
      </c>
    </row>
    <row r="185" spans="1:8">
      <c r="A185" s="1" t="s">
        <v>126</v>
      </c>
      <c r="B185" s="2">
        <v>1.55</v>
      </c>
      <c r="C185" s="1" t="s">
        <v>114</v>
      </c>
      <c r="D185" s="2">
        <v>0.911358608023812</v>
      </c>
      <c r="E185" s="2">
        <v>1.55</v>
      </c>
      <c r="F185" s="1" t="s">
        <v>399</v>
      </c>
      <c r="G185" s="2">
        <v>-2.41700054652004</v>
      </c>
      <c r="H185" s="2">
        <v>4.24620837687132</v>
      </c>
    </row>
    <row r="186" spans="1:8">
      <c r="A186" s="1" t="s">
        <v>126</v>
      </c>
      <c r="B186" s="2">
        <v>2.15</v>
      </c>
      <c r="C186" s="1" t="s">
        <v>114</v>
      </c>
      <c r="D186" s="2">
        <v>0.911358608023812</v>
      </c>
      <c r="E186" s="2">
        <v>2.15</v>
      </c>
      <c r="F186" s="1" t="s">
        <v>399</v>
      </c>
      <c r="G186" s="2">
        <v>-2.41700054652004</v>
      </c>
      <c r="H186" s="2">
        <v>4.24620837687132</v>
      </c>
    </row>
    <row r="187" spans="1:8">
      <c r="A187" s="1" t="s">
        <v>126</v>
      </c>
      <c r="B187" s="2">
        <v>2.04</v>
      </c>
      <c r="C187" s="1" t="s">
        <v>114</v>
      </c>
      <c r="D187" s="2">
        <v>0.911358608023812</v>
      </c>
      <c r="E187" s="2">
        <v>2.04</v>
      </c>
      <c r="F187" s="1" t="s">
        <v>399</v>
      </c>
      <c r="G187" s="2">
        <v>-2.41700054652004</v>
      </c>
      <c r="H187" s="2">
        <v>4.24620837687132</v>
      </c>
    </row>
    <row r="188" spans="1:8">
      <c r="A188" s="1" t="s">
        <v>126</v>
      </c>
      <c r="B188" s="2">
        <v>2.01</v>
      </c>
      <c r="C188" s="1" t="s">
        <v>114</v>
      </c>
      <c r="D188" s="2">
        <v>0.911358608023812</v>
      </c>
      <c r="E188" s="2">
        <v>2.01</v>
      </c>
      <c r="F188" s="1" t="s">
        <v>399</v>
      </c>
      <c r="G188" s="2">
        <v>-2.41700054652004</v>
      </c>
      <c r="H188" s="2">
        <v>4.24620837687132</v>
      </c>
    </row>
    <row r="189" spans="1:8">
      <c r="A189" s="1" t="s">
        <v>126</v>
      </c>
      <c r="B189" s="2">
        <v>1.94</v>
      </c>
      <c r="C189" s="1" t="s">
        <v>114</v>
      </c>
      <c r="D189" s="2">
        <v>0.911358608023812</v>
      </c>
      <c r="E189" s="2">
        <v>1.94</v>
      </c>
      <c r="F189" s="1" t="s">
        <v>399</v>
      </c>
      <c r="G189" s="2">
        <v>-2.41700054652004</v>
      </c>
      <c r="H189" s="2">
        <v>4.24620837687132</v>
      </c>
    </row>
    <row r="190" spans="1:8">
      <c r="A190" s="1" t="s">
        <v>126</v>
      </c>
      <c r="B190" s="2">
        <v>1.86</v>
      </c>
      <c r="C190" s="1" t="s">
        <v>114</v>
      </c>
      <c r="D190" s="2">
        <v>0.911358608023812</v>
      </c>
      <c r="E190" s="2">
        <v>1.86</v>
      </c>
      <c r="F190" s="1" t="s">
        <v>399</v>
      </c>
      <c r="G190" s="2">
        <v>-2.41700054652004</v>
      </c>
      <c r="H190" s="2">
        <v>4.24620837687132</v>
      </c>
    </row>
    <row r="191" spans="1:8">
      <c r="A191" s="1" t="s">
        <v>126</v>
      </c>
      <c r="B191" s="2">
        <v>2.84</v>
      </c>
      <c r="C191" s="1" t="s">
        <v>114</v>
      </c>
      <c r="D191" s="2">
        <v>0.911358608023812</v>
      </c>
      <c r="E191" s="2">
        <v>2.84</v>
      </c>
      <c r="F191" s="1" t="s">
        <v>399</v>
      </c>
      <c r="G191" s="2">
        <v>-2.41700054652004</v>
      </c>
      <c r="H191" s="2">
        <v>4.24620837687132</v>
      </c>
    </row>
    <row r="192" spans="1:8">
      <c r="A192" s="1" t="s">
        <v>126</v>
      </c>
      <c r="B192" s="2">
        <v>1.55</v>
      </c>
      <c r="C192" s="1" t="s">
        <v>114</v>
      </c>
      <c r="D192" s="2">
        <v>0.911358608023812</v>
      </c>
      <c r="E192" s="2">
        <v>1.55</v>
      </c>
      <c r="F192" s="1" t="s">
        <v>399</v>
      </c>
      <c r="G192" s="2">
        <v>-2.41700054652004</v>
      </c>
      <c r="H192" s="2">
        <v>4.24620837687132</v>
      </c>
    </row>
    <row r="193" spans="1:8">
      <c r="A193" s="1" t="s">
        <v>126</v>
      </c>
      <c r="B193" s="2">
        <v>2.05058695575865</v>
      </c>
      <c r="C193" s="1" t="s">
        <v>110</v>
      </c>
      <c r="D193" s="2">
        <v>0.911358608023812</v>
      </c>
      <c r="E193" s="2">
        <v>2.25003301412288</v>
      </c>
      <c r="F193" s="1" t="s">
        <v>399</v>
      </c>
      <c r="G193" s="2">
        <v>-2.41700054652004</v>
      </c>
      <c r="H193" s="2">
        <v>4.24620837687132</v>
      </c>
    </row>
    <row r="194" spans="1:8">
      <c r="A194" s="1" t="s">
        <v>108</v>
      </c>
      <c r="B194" s="2">
        <v>0.737840804034076</v>
      </c>
      <c r="C194" s="1" t="s">
        <v>114</v>
      </c>
      <c r="D194" s="2">
        <v>0.898121804798333</v>
      </c>
      <c r="E194" s="2">
        <v>0.737840804034076</v>
      </c>
      <c r="F194" s="1" t="s">
        <v>399</v>
      </c>
      <c r="G194" s="2">
        <v>-1.27893237109756</v>
      </c>
      <c r="H194" s="2">
        <v>2.27292642078765</v>
      </c>
    </row>
    <row r="195" spans="1:8">
      <c r="A195" s="1" t="s">
        <v>126</v>
      </c>
      <c r="B195" s="2">
        <v>10.6248410210479</v>
      </c>
      <c r="C195" s="1" t="s">
        <v>110</v>
      </c>
      <c r="D195" s="2">
        <v>0.911358608023812</v>
      </c>
      <c r="E195" s="2">
        <v>11.6582439969342</v>
      </c>
      <c r="F195" s="1" t="s">
        <v>400</v>
      </c>
      <c r="G195" s="2">
        <v>-2.41700054652004</v>
      </c>
      <c r="H195" s="2">
        <v>4.24620837687132</v>
      </c>
    </row>
    <row r="196" spans="1:8">
      <c r="A196" s="1" t="s">
        <v>126</v>
      </c>
      <c r="B196" s="2">
        <v>1.55844155844156</v>
      </c>
      <c r="C196" s="1" t="s">
        <v>110</v>
      </c>
      <c r="D196" s="2">
        <v>0.911358608023812</v>
      </c>
      <c r="E196" s="2">
        <v>1.71002012239823</v>
      </c>
      <c r="F196" s="1" t="s">
        <v>399</v>
      </c>
      <c r="G196" s="2">
        <v>-2.41700054652004</v>
      </c>
      <c r="H196" s="2">
        <v>4.24620837687132</v>
      </c>
    </row>
    <row r="197" spans="1:8">
      <c r="A197" s="1" t="s">
        <v>126</v>
      </c>
      <c r="B197" s="2">
        <v>2.38316046369738</v>
      </c>
      <c r="C197" s="1" t="s">
        <v>114</v>
      </c>
      <c r="D197" s="2">
        <v>0.911358608023812</v>
      </c>
      <c r="E197" s="2">
        <v>2.38316046369738</v>
      </c>
      <c r="F197" s="1" t="s">
        <v>399</v>
      </c>
      <c r="G197" s="2">
        <v>-2.41700054652004</v>
      </c>
      <c r="H197" s="2">
        <v>4.24620837687132</v>
      </c>
    </row>
    <row r="198" spans="1:8">
      <c r="A198" s="1" t="s">
        <v>137</v>
      </c>
      <c r="B198" s="2">
        <v>2.88648760330579</v>
      </c>
      <c r="C198" s="1" t="s">
        <v>114</v>
      </c>
      <c r="D198" s="2">
        <v>0.898085980559174</v>
      </c>
      <c r="E198" s="2">
        <v>2.88648760330579</v>
      </c>
      <c r="F198" s="1" t="s">
        <v>399</v>
      </c>
      <c r="G198" s="2">
        <v>-1.69456803813426</v>
      </c>
      <c r="H198" s="2">
        <v>3.02474082288056</v>
      </c>
    </row>
    <row r="199" spans="1:8">
      <c r="A199" s="1" t="s">
        <v>154</v>
      </c>
      <c r="B199" s="2">
        <v>0.0779474747474748</v>
      </c>
      <c r="C199" s="1" t="s">
        <v>110</v>
      </c>
      <c r="D199" s="2">
        <v>0.945470448484017</v>
      </c>
      <c r="E199" s="2">
        <v>0.0824430577100078</v>
      </c>
      <c r="F199" s="1" t="s">
        <v>399</v>
      </c>
      <c r="G199" s="2">
        <v>-0.371903263198752</v>
      </c>
      <c r="H199" s="2">
        <v>0.767296975436132</v>
      </c>
    </row>
    <row r="200" spans="1:8">
      <c r="A200" s="1" t="s">
        <v>126</v>
      </c>
      <c r="B200" s="2">
        <v>0.0968121212121212</v>
      </c>
      <c r="C200" s="1" t="s">
        <v>110</v>
      </c>
      <c r="D200" s="2">
        <v>0.911358608023812</v>
      </c>
      <c r="E200" s="2">
        <v>0.106228350025736</v>
      </c>
      <c r="F200" s="1" t="s">
        <v>399</v>
      </c>
      <c r="G200" s="2">
        <v>-2.41700054652004</v>
      </c>
      <c r="H200" s="2">
        <v>4.24620837687132</v>
      </c>
    </row>
    <row r="201" spans="1:8">
      <c r="A201" s="1" t="s">
        <v>126</v>
      </c>
      <c r="B201" s="2">
        <v>0.8</v>
      </c>
      <c r="C201" s="1" t="s">
        <v>110</v>
      </c>
      <c r="D201" s="2">
        <v>0.911358608023812</v>
      </c>
      <c r="E201" s="2">
        <v>0.877810329497758</v>
      </c>
      <c r="F201" s="1" t="s">
        <v>399</v>
      </c>
      <c r="G201" s="2">
        <v>-2.41700054652004</v>
      </c>
      <c r="H201" s="2">
        <v>4.24620837687132</v>
      </c>
    </row>
    <row r="202" spans="1:8">
      <c r="A202" s="1" t="s">
        <v>154</v>
      </c>
      <c r="B202" s="2">
        <v>1.43148738054398</v>
      </c>
      <c r="C202" s="1" t="s">
        <v>110</v>
      </c>
      <c r="D202" s="2">
        <v>0.945470448484017</v>
      </c>
      <c r="E202" s="2">
        <v>1.51404772390216</v>
      </c>
      <c r="F202" s="1" t="s">
        <v>400</v>
      </c>
      <c r="G202" s="2">
        <v>-0.371903263198752</v>
      </c>
      <c r="H202" s="2">
        <v>0.767296975436132</v>
      </c>
    </row>
    <row r="203" spans="1:8">
      <c r="A203" s="1" t="s">
        <v>154</v>
      </c>
      <c r="B203" s="2">
        <v>2.03113325031133</v>
      </c>
      <c r="C203" s="1" t="s">
        <v>110</v>
      </c>
      <c r="D203" s="2">
        <v>0.945470448484017</v>
      </c>
      <c r="E203" s="2">
        <v>2.14827787961864</v>
      </c>
      <c r="F203" s="1" t="s">
        <v>400</v>
      </c>
      <c r="G203" s="2">
        <v>-0.371903263198752</v>
      </c>
      <c r="H203" s="2">
        <v>0.767296975436132</v>
      </c>
    </row>
    <row r="204" spans="1:8">
      <c r="A204" s="1" t="s">
        <v>249</v>
      </c>
      <c r="B204" s="2">
        <v>0.562804615189552</v>
      </c>
      <c r="C204" s="1" t="s">
        <v>110</v>
      </c>
      <c r="D204" s="2">
        <v>0.919960813526214</v>
      </c>
      <c r="E204" s="2">
        <v>0.611770204681131</v>
      </c>
      <c r="F204" s="1" t="s">
        <v>399</v>
      </c>
      <c r="G204" s="2">
        <v>-1.58689734456032</v>
      </c>
      <c r="H204" s="2">
        <v>3.0168975350695</v>
      </c>
    </row>
    <row r="205" spans="1:8">
      <c r="A205" s="1" t="s">
        <v>117</v>
      </c>
      <c r="B205" s="2">
        <v>0.056</v>
      </c>
      <c r="C205" s="1" t="s">
        <v>110</v>
      </c>
      <c r="D205" s="2">
        <v>0.992403236892688</v>
      </c>
      <c r="E205" s="2">
        <v>0.0564286752785506</v>
      </c>
      <c r="F205" s="1" t="s">
        <v>399</v>
      </c>
      <c r="G205" s="2">
        <v>-1.14230280379727</v>
      </c>
      <c r="H205" s="2">
        <v>2.05579236761459</v>
      </c>
    </row>
    <row r="206" spans="1:8">
      <c r="A206" s="1" t="s">
        <v>117</v>
      </c>
      <c r="B206" s="2">
        <v>0.041</v>
      </c>
      <c r="C206" s="1" t="s">
        <v>110</v>
      </c>
      <c r="D206" s="2">
        <v>0.992403236892688</v>
      </c>
      <c r="E206" s="2">
        <v>0.0413138515432245</v>
      </c>
      <c r="F206" s="1" t="s">
        <v>399</v>
      </c>
      <c r="G206" s="2">
        <v>-1.14230280379727</v>
      </c>
      <c r="H206" s="2">
        <v>2.05579236761459</v>
      </c>
    </row>
    <row r="207" spans="1:8">
      <c r="A207" s="1" t="s">
        <v>117</v>
      </c>
      <c r="B207" s="2">
        <v>0.02</v>
      </c>
      <c r="C207" s="1" t="s">
        <v>110</v>
      </c>
      <c r="D207" s="2">
        <v>0.992403236892688</v>
      </c>
      <c r="E207" s="2">
        <v>0.0201530983137681</v>
      </c>
      <c r="F207" s="1" t="s">
        <v>399</v>
      </c>
      <c r="G207" s="2">
        <v>-1.14230280379727</v>
      </c>
      <c r="H207" s="2">
        <v>2.05579236761459</v>
      </c>
    </row>
    <row r="208" spans="1:8">
      <c r="A208" s="1" t="s">
        <v>117</v>
      </c>
      <c r="B208" s="2">
        <v>0.013</v>
      </c>
      <c r="C208" s="1" t="s">
        <v>110</v>
      </c>
      <c r="D208" s="2">
        <v>0.992403236892688</v>
      </c>
      <c r="E208" s="2">
        <v>0.0130995139039493</v>
      </c>
      <c r="F208" s="1" t="s">
        <v>399</v>
      </c>
      <c r="G208" s="2">
        <v>-1.14230280379727</v>
      </c>
      <c r="H208" s="2">
        <v>2.05579236761459</v>
      </c>
    </row>
    <row r="209" spans="1:8">
      <c r="A209" s="1" t="s">
        <v>117</v>
      </c>
      <c r="B209" s="2">
        <v>0.012</v>
      </c>
      <c r="C209" s="1" t="s">
        <v>110</v>
      </c>
      <c r="D209" s="2">
        <v>0.992403236892688</v>
      </c>
      <c r="E209" s="2">
        <v>0.0120918589882608</v>
      </c>
      <c r="F209" s="1" t="s">
        <v>399</v>
      </c>
      <c r="G209" s="2">
        <v>-1.14230280379727</v>
      </c>
      <c r="H209" s="2">
        <v>2.05579236761459</v>
      </c>
    </row>
    <row r="210" spans="1:8">
      <c r="A210" s="1" t="s">
        <v>126</v>
      </c>
      <c r="B210" s="2">
        <v>0.585454545454545</v>
      </c>
      <c r="C210" s="1" t="s">
        <v>114</v>
      </c>
      <c r="D210" s="2">
        <v>0.911358608023812</v>
      </c>
      <c r="E210" s="2">
        <v>0.585454545454545</v>
      </c>
      <c r="F210" s="1" t="s">
        <v>399</v>
      </c>
      <c r="G210" s="2">
        <v>-2.41700054652004</v>
      </c>
      <c r="H210" s="2">
        <v>4.24620837687132</v>
      </c>
    </row>
    <row r="211" spans="1:8">
      <c r="A211" s="1" t="s">
        <v>139</v>
      </c>
      <c r="B211" s="2">
        <v>6.09</v>
      </c>
      <c r="C211" s="1" t="s">
        <v>110</v>
      </c>
      <c r="D211" s="2">
        <v>0.919960813526214</v>
      </c>
      <c r="E211" s="2">
        <v>6.61984718311751</v>
      </c>
      <c r="F211" s="1" t="s">
        <v>400</v>
      </c>
      <c r="G211" s="2">
        <v>-2.67038668339085</v>
      </c>
      <c r="H211" s="2">
        <v>4.6462391012346</v>
      </c>
    </row>
    <row r="212" spans="1:8">
      <c r="A212" s="1" t="s">
        <v>139</v>
      </c>
      <c r="B212" s="2">
        <v>1.31727272727273</v>
      </c>
      <c r="C212" s="1" t="s">
        <v>110</v>
      </c>
      <c r="D212" s="2">
        <v>0.919960813526214</v>
      </c>
      <c r="E212" s="2">
        <v>1.43187917126993</v>
      </c>
      <c r="F212" s="1" t="s">
        <v>399</v>
      </c>
      <c r="G212" s="2">
        <v>-2.67038668339085</v>
      </c>
      <c r="H212" s="2">
        <v>4.6462391012346</v>
      </c>
    </row>
    <row r="213" spans="1:8">
      <c r="A213" s="1" t="s">
        <v>139</v>
      </c>
      <c r="B213" s="2">
        <v>0.579090909090909</v>
      </c>
      <c r="C213" s="1" t="s">
        <v>110</v>
      </c>
      <c r="D213" s="2">
        <v>0.919960813526214</v>
      </c>
      <c r="E213" s="2">
        <v>0.629473452104172</v>
      </c>
      <c r="F213" s="1" t="s">
        <v>399</v>
      </c>
      <c r="G213" s="2">
        <v>-2.67038668339085</v>
      </c>
      <c r="H213" s="2">
        <v>4.6462391012346</v>
      </c>
    </row>
    <row r="214" spans="1:8">
      <c r="A214" s="1" t="s">
        <v>139</v>
      </c>
      <c r="B214" s="2">
        <v>0.445454545454545</v>
      </c>
      <c r="C214" s="1" t="s">
        <v>110</v>
      </c>
      <c r="D214" s="2">
        <v>0.919960813526214</v>
      </c>
      <c r="E214" s="2">
        <v>0.48421034777244</v>
      </c>
      <c r="F214" s="1" t="s">
        <v>399</v>
      </c>
      <c r="G214" s="2">
        <v>-2.67038668339085</v>
      </c>
      <c r="H214" s="2">
        <v>4.6462391012346</v>
      </c>
    </row>
    <row r="215" spans="1:8">
      <c r="A215" s="1" t="s">
        <v>139</v>
      </c>
      <c r="B215" s="2">
        <v>0.407272727272727</v>
      </c>
      <c r="C215" s="1" t="s">
        <v>110</v>
      </c>
      <c r="D215" s="2">
        <v>0.919960813526214</v>
      </c>
      <c r="E215" s="2">
        <v>0.44270660367766</v>
      </c>
      <c r="F215" s="1" t="s">
        <v>399</v>
      </c>
      <c r="G215" s="2">
        <v>-2.67038668339085</v>
      </c>
      <c r="H215" s="2">
        <v>4.6462391012346</v>
      </c>
    </row>
    <row r="216" spans="1:8">
      <c r="A216" s="1" t="s">
        <v>139</v>
      </c>
      <c r="B216" s="2">
        <v>0.45</v>
      </c>
      <c r="C216" s="1" t="s">
        <v>110</v>
      </c>
      <c r="D216" s="2">
        <v>0.919960813526214</v>
      </c>
      <c r="E216" s="2">
        <v>0.489151269688486</v>
      </c>
      <c r="F216" s="1" t="s">
        <v>399</v>
      </c>
      <c r="G216" s="2">
        <v>-2.67038668339085</v>
      </c>
      <c r="H216" s="2">
        <v>4.6462391012346</v>
      </c>
    </row>
    <row r="217" spans="1:8">
      <c r="A217" s="1" t="s">
        <v>139</v>
      </c>
      <c r="B217" s="2">
        <v>10.26</v>
      </c>
      <c r="C217" s="1" t="s">
        <v>110</v>
      </c>
      <c r="D217" s="2">
        <v>0.919960813526214</v>
      </c>
      <c r="E217" s="2">
        <v>11.1526489488975</v>
      </c>
      <c r="F217" s="1" t="s">
        <v>400</v>
      </c>
      <c r="G217" s="2">
        <v>-2.67038668339085</v>
      </c>
      <c r="H217" s="2">
        <v>4.6462391012346</v>
      </c>
    </row>
    <row r="218" spans="1:8">
      <c r="A218" s="1" t="s">
        <v>139</v>
      </c>
      <c r="B218" s="2">
        <v>3.82</v>
      </c>
      <c r="C218" s="1" t="s">
        <v>110</v>
      </c>
      <c r="D218" s="2">
        <v>0.919960813526214</v>
      </c>
      <c r="E218" s="2">
        <v>4.15235077824448</v>
      </c>
      <c r="F218" s="1" t="s">
        <v>399</v>
      </c>
      <c r="G218" s="2">
        <v>-2.67038668339085</v>
      </c>
      <c r="H218" s="2">
        <v>4.6462391012346</v>
      </c>
    </row>
    <row r="219" spans="1:8">
      <c r="A219" s="1" t="s">
        <v>139</v>
      </c>
      <c r="B219" s="2">
        <v>1.05</v>
      </c>
      <c r="C219" s="1" t="s">
        <v>110</v>
      </c>
      <c r="D219" s="2">
        <v>0.919960813526214</v>
      </c>
      <c r="E219" s="2">
        <v>1.14135296260647</v>
      </c>
      <c r="F219" s="1" t="s">
        <v>399</v>
      </c>
      <c r="G219" s="2">
        <v>-2.67038668339085</v>
      </c>
      <c r="H219" s="2">
        <v>4.6462391012346</v>
      </c>
    </row>
    <row r="220" spans="1:8">
      <c r="A220" s="1" t="s">
        <v>139</v>
      </c>
      <c r="B220" s="2">
        <v>1.79</v>
      </c>
      <c r="C220" s="1" t="s">
        <v>110</v>
      </c>
      <c r="D220" s="2">
        <v>0.919960813526214</v>
      </c>
      <c r="E220" s="2">
        <v>1.94573505053864</v>
      </c>
      <c r="F220" s="1" t="s">
        <v>399</v>
      </c>
      <c r="G220" s="2">
        <v>-2.67038668339085</v>
      </c>
      <c r="H220" s="2">
        <v>4.6462391012346</v>
      </c>
    </row>
    <row r="221" spans="1:8">
      <c r="A221" s="1" t="s">
        <v>139</v>
      </c>
      <c r="B221" s="2">
        <v>15.65</v>
      </c>
      <c r="C221" s="1" t="s">
        <v>110</v>
      </c>
      <c r="D221" s="2">
        <v>0.919960813526214</v>
      </c>
      <c r="E221" s="2">
        <v>17.011594156944</v>
      </c>
      <c r="F221" s="1" t="s">
        <v>400</v>
      </c>
      <c r="G221" s="2">
        <v>-2.67038668339085</v>
      </c>
      <c r="H221" s="2">
        <v>4.6462391012346</v>
      </c>
    </row>
    <row r="222" spans="1:8">
      <c r="A222" s="1" t="s">
        <v>139</v>
      </c>
      <c r="B222" s="2">
        <v>0.47</v>
      </c>
      <c r="C222" s="1" t="s">
        <v>110</v>
      </c>
      <c r="D222" s="2">
        <v>0.919960813526214</v>
      </c>
      <c r="E222" s="2">
        <v>0.510891326119085</v>
      </c>
      <c r="F222" s="1" t="s">
        <v>399</v>
      </c>
      <c r="G222" s="2">
        <v>-2.67038668339085</v>
      </c>
      <c r="H222" s="2">
        <v>4.6462391012346</v>
      </c>
    </row>
    <row r="223" spans="1:8">
      <c r="A223" s="1" t="s">
        <v>139</v>
      </c>
      <c r="B223" s="2">
        <v>0.719603</v>
      </c>
      <c r="C223" s="1" t="s">
        <v>110</v>
      </c>
      <c r="D223" s="2">
        <v>0.919960813526214</v>
      </c>
      <c r="E223" s="2">
        <v>0.78221049138143</v>
      </c>
      <c r="F223" s="1" t="s">
        <v>399</v>
      </c>
      <c r="G223" s="2">
        <v>-2.67038668339085</v>
      </c>
      <c r="H223" s="2">
        <v>4.6462391012346</v>
      </c>
    </row>
    <row r="224" spans="1:8">
      <c r="A224" s="1" t="s">
        <v>139</v>
      </c>
      <c r="B224" s="2">
        <v>1.7369727</v>
      </c>
      <c r="C224" s="1" t="s">
        <v>110</v>
      </c>
      <c r="D224" s="2">
        <v>0.919960813526214</v>
      </c>
      <c r="E224" s="2">
        <v>1.88809422582053</v>
      </c>
      <c r="F224" s="1" t="s">
        <v>399</v>
      </c>
      <c r="G224" s="2">
        <v>-2.67038668339085</v>
      </c>
      <c r="H224" s="2">
        <v>4.6462391012346</v>
      </c>
    </row>
    <row r="225" spans="1:8">
      <c r="A225" s="1" t="s">
        <v>139</v>
      </c>
      <c r="B225" s="2">
        <v>0.7444169</v>
      </c>
      <c r="C225" s="1" t="s">
        <v>110</v>
      </c>
      <c r="D225" s="2">
        <v>0.919960813526214</v>
      </c>
      <c r="E225" s="2">
        <v>0.809183270694592</v>
      </c>
      <c r="F225" s="1" t="s">
        <v>399</v>
      </c>
      <c r="G225" s="2">
        <v>-2.67038668339085</v>
      </c>
      <c r="H225" s="2">
        <v>4.6462391012346</v>
      </c>
    </row>
    <row r="226" spans="1:8">
      <c r="A226" s="1" t="s">
        <v>139</v>
      </c>
      <c r="B226" s="2">
        <v>0.6451613</v>
      </c>
      <c r="C226" s="1" t="s">
        <v>110</v>
      </c>
      <c r="D226" s="2">
        <v>0.919960813526214</v>
      </c>
      <c r="E226" s="2">
        <v>0.701292153441942</v>
      </c>
      <c r="F226" s="1" t="s">
        <v>399</v>
      </c>
      <c r="G226" s="2">
        <v>-2.67038668339085</v>
      </c>
      <c r="H226" s="2">
        <v>4.6462391012346</v>
      </c>
    </row>
    <row r="227" spans="1:8">
      <c r="A227" s="1" t="s">
        <v>139</v>
      </c>
      <c r="B227" s="2">
        <v>0.27295285</v>
      </c>
      <c r="C227" s="1" t="s">
        <v>110</v>
      </c>
      <c r="D227" s="2">
        <v>0.919960813526214</v>
      </c>
      <c r="E227" s="2">
        <v>0.296700518094646</v>
      </c>
      <c r="F227" s="1" t="s">
        <v>399</v>
      </c>
      <c r="G227" s="2">
        <v>-2.67038668339085</v>
      </c>
      <c r="H227" s="2">
        <v>4.6462391012346</v>
      </c>
    </row>
    <row r="228" spans="1:8">
      <c r="A228" s="1" t="s">
        <v>139</v>
      </c>
      <c r="B228" s="2">
        <v>2.4069479</v>
      </c>
      <c r="C228" s="1" t="s">
        <v>110</v>
      </c>
      <c r="D228" s="2">
        <v>0.919960813526214</v>
      </c>
      <c r="E228" s="2">
        <v>2.61635915857563</v>
      </c>
      <c r="F228" s="1" t="s">
        <v>399</v>
      </c>
      <c r="G228" s="2">
        <v>-2.67038668339085</v>
      </c>
      <c r="H228" s="2">
        <v>4.6462391012346</v>
      </c>
    </row>
    <row r="229" spans="1:8">
      <c r="A229" s="1" t="s">
        <v>139</v>
      </c>
      <c r="B229" s="2">
        <v>1.9851117</v>
      </c>
      <c r="C229" s="1" t="s">
        <v>110</v>
      </c>
      <c r="D229" s="2">
        <v>0.919960813526214</v>
      </c>
      <c r="E229" s="2">
        <v>2.15782201895215</v>
      </c>
      <c r="F229" s="1" t="s">
        <v>399</v>
      </c>
      <c r="G229" s="2">
        <v>-2.67038668339085</v>
      </c>
      <c r="H229" s="2">
        <v>4.6462391012346</v>
      </c>
    </row>
    <row r="230" spans="1:8">
      <c r="A230" s="1" t="s">
        <v>139</v>
      </c>
      <c r="B230" s="2">
        <v>8.337469</v>
      </c>
      <c r="C230" s="1" t="s">
        <v>110</v>
      </c>
      <c r="D230" s="2">
        <v>0.919960813526214</v>
      </c>
      <c r="E230" s="2">
        <v>9.06285232741864</v>
      </c>
      <c r="F230" s="1" t="s">
        <v>400</v>
      </c>
      <c r="G230" s="2">
        <v>-2.67038668339085</v>
      </c>
      <c r="H230" s="2">
        <v>4.6462391012346</v>
      </c>
    </row>
    <row r="231" spans="1:8">
      <c r="A231" s="1" t="s">
        <v>139</v>
      </c>
      <c r="B231" s="2">
        <v>0.39702234</v>
      </c>
      <c r="C231" s="1" t="s">
        <v>110</v>
      </c>
      <c r="D231" s="2">
        <v>0.919960813526214</v>
      </c>
      <c r="E231" s="2">
        <v>0.43156440379043</v>
      </c>
      <c r="F231" s="1" t="s">
        <v>399</v>
      </c>
      <c r="G231" s="2">
        <v>-2.67038668339085</v>
      </c>
      <c r="H231" s="2">
        <v>4.6462391012346</v>
      </c>
    </row>
    <row r="232" spans="1:8">
      <c r="A232" s="1" t="s">
        <v>108</v>
      </c>
      <c r="B232" s="2">
        <v>0.0994254545454545</v>
      </c>
      <c r="C232" s="1" t="s">
        <v>110</v>
      </c>
      <c r="D232" s="2">
        <v>0.898121804798333</v>
      </c>
      <c r="E232" s="2">
        <v>0.110703753114846</v>
      </c>
      <c r="F232" s="1" t="s">
        <v>399</v>
      </c>
      <c r="G232" s="2">
        <v>-1.27893237109756</v>
      </c>
      <c r="H232" s="2">
        <v>2.27292642078765</v>
      </c>
    </row>
    <row r="233" spans="1:8">
      <c r="A233" s="1" t="s">
        <v>108</v>
      </c>
      <c r="B233" s="2">
        <v>0.000437258181818182</v>
      </c>
      <c r="C233" s="1" t="s">
        <v>110</v>
      </c>
      <c r="D233" s="2">
        <v>0.898121804798333</v>
      </c>
      <c r="E233" s="2">
        <v>0.000486858441117979</v>
      </c>
      <c r="F233" s="1" t="s">
        <v>399</v>
      </c>
      <c r="G233" s="2">
        <v>-1.27893237109756</v>
      </c>
      <c r="H233" s="2">
        <v>2.27292642078765</v>
      </c>
    </row>
    <row r="234" spans="1:8">
      <c r="A234" s="1" t="s">
        <v>184</v>
      </c>
      <c r="B234" s="2">
        <v>0.0167490909090909</v>
      </c>
      <c r="C234" s="1" t="s">
        <v>110</v>
      </c>
      <c r="D234" s="2">
        <v>0.865259126364145</v>
      </c>
      <c r="E234" s="2">
        <v>0.019357312045319</v>
      </c>
      <c r="F234" s="1" t="s">
        <v>399</v>
      </c>
      <c r="G234" s="2">
        <v>-1.4516067198867</v>
      </c>
      <c r="H234" s="2">
        <v>2.47096403193202</v>
      </c>
    </row>
    <row r="235" spans="1:8">
      <c r="A235" s="1" t="s">
        <v>184</v>
      </c>
      <c r="B235" s="2">
        <v>0.00140967272727273</v>
      </c>
      <c r="C235" s="1" t="s">
        <v>110</v>
      </c>
      <c r="D235" s="2">
        <v>0.865259126364145</v>
      </c>
      <c r="E235" s="2">
        <v>0.00162919139980208</v>
      </c>
      <c r="F235" s="1" t="s">
        <v>399</v>
      </c>
      <c r="G235" s="2">
        <v>-1.4516067198867</v>
      </c>
      <c r="H235" s="2">
        <v>2.47096403193202</v>
      </c>
    </row>
    <row r="236" spans="1:8">
      <c r="A236" s="1" t="s">
        <v>184</v>
      </c>
      <c r="B236" s="2">
        <v>0.09856</v>
      </c>
      <c r="C236" s="1" t="s">
        <v>110</v>
      </c>
      <c r="D236" s="2">
        <v>0.865259126364145</v>
      </c>
      <c r="E236" s="2">
        <v>0.113908073312273</v>
      </c>
      <c r="F236" s="1" t="s">
        <v>399</v>
      </c>
      <c r="G236" s="2">
        <v>-1.4516067198867</v>
      </c>
      <c r="H236" s="2">
        <v>2.47096403193202</v>
      </c>
    </row>
    <row r="237" spans="1:8">
      <c r="A237" s="1" t="s">
        <v>184</v>
      </c>
      <c r="B237" s="2">
        <v>0.000105477272727273</v>
      </c>
      <c r="C237" s="1" t="s">
        <v>110</v>
      </c>
      <c r="D237" s="2">
        <v>0.865259126364145</v>
      </c>
      <c r="E237" s="2">
        <v>0.00012190252551336</v>
      </c>
      <c r="F237" s="1" t="s">
        <v>399</v>
      </c>
      <c r="G237" s="2">
        <v>-1.4516067198867</v>
      </c>
      <c r="H237" s="2">
        <v>2.47096403193202</v>
      </c>
    </row>
    <row r="238" spans="1:8">
      <c r="A238" s="1" t="s">
        <v>184</v>
      </c>
      <c r="B238" s="2">
        <v>0.0703181818181818</v>
      </c>
      <c r="C238" s="1" t="s">
        <v>110</v>
      </c>
      <c r="D238" s="2">
        <v>0.865259126364145</v>
      </c>
      <c r="E238" s="2">
        <v>0.0812683503422399</v>
      </c>
      <c r="F238" s="1" t="s">
        <v>399</v>
      </c>
      <c r="G238" s="2">
        <v>-1.4516067198867</v>
      </c>
      <c r="H238" s="2">
        <v>2.47096403193202</v>
      </c>
    </row>
    <row r="239" spans="1:8">
      <c r="A239" s="1" t="s">
        <v>184</v>
      </c>
      <c r="B239" s="2">
        <v>0.12488</v>
      </c>
      <c r="C239" s="1" t="s">
        <v>110</v>
      </c>
      <c r="D239" s="2">
        <v>0.865259126364145</v>
      </c>
      <c r="E239" s="2">
        <v>0.144326706526345</v>
      </c>
      <c r="F239" s="1" t="s">
        <v>399</v>
      </c>
      <c r="G239" s="2">
        <v>-1.4516067198867</v>
      </c>
      <c r="H239" s="2">
        <v>2.47096403193202</v>
      </c>
    </row>
    <row r="240" spans="1:8">
      <c r="A240" s="1" t="s">
        <v>184</v>
      </c>
      <c r="B240" s="2">
        <v>0.3248</v>
      </c>
      <c r="C240" s="1" t="s">
        <v>110</v>
      </c>
      <c r="D240" s="2">
        <v>0.865259126364145</v>
      </c>
      <c r="E240" s="2">
        <v>0.375378877960899</v>
      </c>
      <c r="F240" s="1" t="s">
        <v>399</v>
      </c>
      <c r="G240" s="2">
        <v>-1.4516067198867</v>
      </c>
      <c r="H240" s="2">
        <v>2.47096403193202</v>
      </c>
    </row>
    <row r="241" spans="1:8">
      <c r="A241" s="1" t="s">
        <v>184</v>
      </c>
      <c r="B241" s="2">
        <v>0.13216</v>
      </c>
      <c r="C241" s="1" t="s">
        <v>110</v>
      </c>
      <c r="D241" s="2">
        <v>0.865259126364145</v>
      </c>
      <c r="E241" s="2">
        <v>0.152740371032366</v>
      </c>
      <c r="F241" s="1" t="s">
        <v>399</v>
      </c>
      <c r="G241" s="2">
        <v>-1.4516067198867</v>
      </c>
      <c r="H241" s="2">
        <v>2.47096403193202</v>
      </c>
    </row>
    <row r="242" spans="1:8">
      <c r="A242" s="1" t="s">
        <v>184</v>
      </c>
      <c r="B242" s="2">
        <v>0.233634545454545</v>
      </c>
      <c r="C242" s="1" t="s">
        <v>110</v>
      </c>
      <c r="D242" s="2">
        <v>0.865259126364145</v>
      </c>
      <c r="E242" s="2">
        <v>0.270016851987782</v>
      </c>
      <c r="F242" s="1" t="s">
        <v>399</v>
      </c>
      <c r="G242" s="2">
        <v>-1.4516067198867</v>
      </c>
      <c r="H242" s="2">
        <v>2.47096403193202</v>
      </c>
    </row>
    <row r="243" spans="1:8">
      <c r="A243" s="1" t="s">
        <v>184</v>
      </c>
      <c r="B243" s="2">
        <v>0.16352</v>
      </c>
      <c r="C243" s="1" t="s">
        <v>110</v>
      </c>
      <c r="D243" s="2">
        <v>0.865259126364145</v>
      </c>
      <c r="E243" s="2">
        <v>0.188983848904452</v>
      </c>
      <c r="F243" s="1" t="s">
        <v>399</v>
      </c>
      <c r="G243" s="2">
        <v>-1.4516067198867</v>
      </c>
      <c r="H243" s="2">
        <v>2.47096403193202</v>
      </c>
    </row>
    <row r="244" spans="1:8">
      <c r="A244" s="1" t="s">
        <v>112</v>
      </c>
      <c r="B244" s="2">
        <v>2.7216</v>
      </c>
      <c r="C244" s="1" t="s">
        <v>110</v>
      </c>
      <c r="D244" s="2">
        <v>0.995980980414355</v>
      </c>
      <c r="E244" s="2">
        <v>2.73258230179028</v>
      </c>
      <c r="F244" s="1" t="s">
        <v>399</v>
      </c>
      <c r="G244" s="2">
        <v>-3.3755808488784</v>
      </c>
      <c r="H244" s="2">
        <v>6.82112077050964</v>
      </c>
    </row>
    <row r="245" spans="1:8">
      <c r="A245" s="1" t="s">
        <v>112</v>
      </c>
      <c r="B245" s="2">
        <v>2.3408</v>
      </c>
      <c r="C245" s="1" t="s">
        <v>110</v>
      </c>
      <c r="D245" s="2">
        <v>0.995980980414355</v>
      </c>
      <c r="E245" s="2">
        <v>2.35024568343279</v>
      </c>
      <c r="F245" s="1" t="s">
        <v>399</v>
      </c>
      <c r="G245" s="2">
        <v>-3.3755808488784</v>
      </c>
      <c r="H245" s="2">
        <v>6.82112077050964</v>
      </c>
    </row>
    <row r="246" spans="1:8">
      <c r="A246" s="1" t="s">
        <v>112</v>
      </c>
      <c r="B246" s="2">
        <v>2.1728</v>
      </c>
      <c r="C246" s="1" t="s">
        <v>110</v>
      </c>
      <c r="D246" s="2">
        <v>0.995980980414355</v>
      </c>
      <c r="E246" s="2">
        <v>2.1815677635692</v>
      </c>
      <c r="F246" s="1" t="s">
        <v>399</v>
      </c>
      <c r="G246" s="2">
        <v>-3.3755808488784</v>
      </c>
      <c r="H246" s="2">
        <v>6.82112077050964</v>
      </c>
    </row>
    <row r="247" spans="1:8">
      <c r="A247" s="1" t="s">
        <v>112</v>
      </c>
      <c r="B247" s="2">
        <v>1.8648</v>
      </c>
      <c r="C247" s="1" t="s">
        <v>110</v>
      </c>
      <c r="D247" s="2">
        <v>0.995980980414355</v>
      </c>
      <c r="E247" s="2">
        <v>1.87232491048593</v>
      </c>
      <c r="F247" s="1" t="s">
        <v>399</v>
      </c>
      <c r="G247" s="2">
        <v>-3.3755808488784</v>
      </c>
      <c r="H247" s="2">
        <v>6.82112077050964</v>
      </c>
    </row>
    <row r="248" spans="1:8">
      <c r="A248" s="1" t="s">
        <v>117</v>
      </c>
      <c r="B248" s="2">
        <v>0.00229912023460411</v>
      </c>
      <c r="C248" s="1" t="s">
        <v>110</v>
      </c>
      <c r="D248" s="2">
        <v>0.992403236892688</v>
      </c>
      <c r="E248" s="2">
        <v>0.00231671980615751</v>
      </c>
      <c r="F248" s="1" t="s">
        <v>399</v>
      </c>
      <c r="G248" s="2">
        <v>-1.14230280379727</v>
      </c>
      <c r="H248" s="2">
        <v>2.05579236761459</v>
      </c>
    </row>
    <row r="249" spans="1:8">
      <c r="A249" s="1" t="s">
        <v>154</v>
      </c>
      <c r="B249" s="2">
        <v>0.00566396953831509</v>
      </c>
      <c r="C249" s="1" t="s">
        <v>114</v>
      </c>
      <c r="D249" s="2">
        <v>0.945470448484017</v>
      </c>
      <c r="E249" s="2">
        <v>0.00566396953831509</v>
      </c>
      <c r="F249" s="1" t="s">
        <v>399</v>
      </c>
      <c r="G249" s="2">
        <v>-0.371903263198752</v>
      </c>
      <c r="H249" s="2">
        <v>0.767296975436132</v>
      </c>
    </row>
    <row r="250" spans="1:8">
      <c r="A250" s="1" t="s">
        <v>154</v>
      </c>
      <c r="B250" s="2">
        <v>0.043979057591623</v>
      </c>
      <c r="C250" s="1" t="s">
        <v>114</v>
      </c>
      <c r="D250" s="2">
        <v>0.945470448484017</v>
      </c>
      <c r="E250" s="2">
        <v>0.043979057591623</v>
      </c>
      <c r="F250" s="1" t="s">
        <v>399</v>
      </c>
      <c r="G250" s="2">
        <v>-0.371903263198752</v>
      </c>
      <c r="H250" s="2">
        <v>0.767296975436132</v>
      </c>
    </row>
    <row r="251" spans="1:8">
      <c r="A251" s="1" t="s">
        <v>154</v>
      </c>
      <c r="B251" s="2">
        <v>0.00766301761066159</v>
      </c>
      <c r="C251" s="1" t="s">
        <v>114</v>
      </c>
      <c r="D251" s="2">
        <v>0.945470448484017</v>
      </c>
      <c r="E251" s="2">
        <v>0.00766301761066159</v>
      </c>
      <c r="F251" s="1" t="s">
        <v>399</v>
      </c>
      <c r="G251" s="2">
        <v>-0.371903263198752</v>
      </c>
      <c r="H251" s="2">
        <v>0.767296975436132</v>
      </c>
    </row>
    <row r="252" spans="1:8">
      <c r="A252" s="1" t="s">
        <v>154</v>
      </c>
      <c r="B252" s="2">
        <v>0</v>
      </c>
      <c r="C252" s="1" t="s">
        <v>114</v>
      </c>
      <c r="D252" s="2">
        <v>0.945470448484017</v>
      </c>
      <c r="E252" s="2">
        <v>0</v>
      </c>
      <c r="F252" s="1" t="s">
        <v>399</v>
      </c>
      <c r="G252" s="2">
        <v>-0.371903263198752</v>
      </c>
      <c r="H252" s="2">
        <v>0.767296975436132</v>
      </c>
    </row>
    <row r="253" spans="1:8">
      <c r="A253" s="1" t="s">
        <v>117</v>
      </c>
      <c r="B253" s="2">
        <v>0.0879732165851146</v>
      </c>
      <c r="C253" s="1" t="s">
        <v>114</v>
      </c>
      <c r="D253" s="2">
        <v>0.992403236892688</v>
      </c>
      <c r="E253" s="2">
        <v>0.0879732165851146</v>
      </c>
      <c r="F253" s="1" t="s">
        <v>399</v>
      </c>
      <c r="G253" s="2">
        <v>-1.14230280379727</v>
      </c>
      <c r="H253" s="2">
        <v>2.05579236761459</v>
      </c>
    </row>
    <row r="254" spans="1:8">
      <c r="A254" s="1" t="s">
        <v>117</v>
      </c>
      <c r="B254" s="2">
        <v>0.0571465361833634</v>
      </c>
      <c r="C254" s="1" t="s">
        <v>114</v>
      </c>
      <c r="D254" s="2">
        <v>0.992403236892688</v>
      </c>
      <c r="E254" s="2">
        <v>0.0571465361833634</v>
      </c>
      <c r="F254" s="1" t="s">
        <v>399</v>
      </c>
      <c r="G254" s="2">
        <v>-1.14230280379727</v>
      </c>
      <c r="H254" s="2">
        <v>2.05579236761459</v>
      </c>
    </row>
    <row r="255" spans="1:8">
      <c r="A255" s="1" t="s">
        <v>117</v>
      </c>
      <c r="B255" s="2">
        <v>0.217048673705898</v>
      </c>
      <c r="C255" s="1" t="s">
        <v>114</v>
      </c>
      <c r="D255" s="2">
        <v>0.992403236892688</v>
      </c>
      <c r="E255" s="2">
        <v>0.217048673705898</v>
      </c>
      <c r="F255" s="1" t="s">
        <v>399</v>
      </c>
      <c r="G255" s="2">
        <v>-1.14230280379727</v>
      </c>
      <c r="H255" s="2">
        <v>2.05579236761459</v>
      </c>
    </row>
    <row r="256" spans="1:8">
      <c r="A256" s="1" t="s">
        <v>117</v>
      </c>
      <c r="B256" s="2">
        <v>0.153232037084728</v>
      </c>
      <c r="C256" s="1" t="s">
        <v>114</v>
      </c>
      <c r="D256" s="2">
        <v>0.992403236892688</v>
      </c>
      <c r="E256" s="2">
        <v>0.153232037084728</v>
      </c>
      <c r="F256" s="1" t="s">
        <v>399</v>
      </c>
      <c r="G256" s="2">
        <v>-1.14230280379727</v>
      </c>
      <c r="H256" s="2">
        <v>2.05579236761459</v>
      </c>
    </row>
    <row r="257" spans="1:8">
      <c r="A257" s="1" t="s">
        <v>117</v>
      </c>
      <c r="B257" s="2">
        <v>0.0548021390374332</v>
      </c>
      <c r="C257" s="1" t="s">
        <v>114</v>
      </c>
      <c r="D257" s="2">
        <v>0.992403236892688</v>
      </c>
      <c r="E257" s="2">
        <v>0.0548021390374332</v>
      </c>
      <c r="F257" s="1" t="s">
        <v>399</v>
      </c>
      <c r="G257" s="2">
        <v>-1.14230280379727</v>
      </c>
      <c r="H257" s="2">
        <v>2.05579236761459</v>
      </c>
    </row>
    <row r="258" spans="1:8">
      <c r="A258" s="1" t="s">
        <v>117</v>
      </c>
      <c r="B258" s="2">
        <v>0.0595935828877005</v>
      </c>
      <c r="C258" s="1" t="s">
        <v>114</v>
      </c>
      <c r="D258" s="2">
        <v>0.992403236892688</v>
      </c>
      <c r="E258" s="2">
        <v>0.0595935828877005</v>
      </c>
      <c r="F258" s="1" t="s">
        <v>399</v>
      </c>
      <c r="G258" s="2">
        <v>-1.14230280379727</v>
      </c>
      <c r="H258" s="2">
        <v>2.05579236761459</v>
      </c>
    </row>
    <row r="259" spans="1:8">
      <c r="A259" s="1" t="s">
        <v>117</v>
      </c>
      <c r="B259" s="2">
        <v>1.19786096256685</v>
      </c>
      <c r="C259" s="1" t="s">
        <v>114</v>
      </c>
      <c r="D259" s="2">
        <v>0.992403236892688</v>
      </c>
      <c r="E259" s="2">
        <v>1.19786096256685</v>
      </c>
      <c r="F259" s="1" t="s">
        <v>399</v>
      </c>
      <c r="G259" s="2">
        <v>-1.14230280379727</v>
      </c>
      <c r="H259" s="2">
        <v>2.05579236761459</v>
      </c>
    </row>
    <row r="260" spans="1:8">
      <c r="A260" s="1" t="s">
        <v>117</v>
      </c>
      <c r="B260" s="2">
        <v>0.172192513368984</v>
      </c>
      <c r="C260" s="1" t="s">
        <v>114</v>
      </c>
      <c r="D260" s="2">
        <v>0.992403236892688</v>
      </c>
      <c r="E260" s="2">
        <v>0.172192513368984</v>
      </c>
      <c r="F260" s="1" t="s">
        <v>399</v>
      </c>
      <c r="G260" s="2">
        <v>-1.14230280379727</v>
      </c>
      <c r="H260" s="2">
        <v>2.05579236761459</v>
      </c>
    </row>
    <row r="261" spans="1:8">
      <c r="A261" s="1" t="s">
        <v>108</v>
      </c>
      <c r="B261" s="2">
        <v>0.101775757575758</v>
      </c>
      <c r="C261" s="1" t="s">
        <v>110</v>
      </c>
      <c r="D261" s="2">
        <v>0.898121804798333</v>
      </c>
      <c r="E261" s="2">
        <v>0.113320662110649</v>
      </c>
      <c r="F261" s="1" t="s">
        <v>399</v>
      </c>
      <c r="G261" s="2">
        <v>-1.27893237109756</v>
      </c>
      <c r="H261" s="2">
        <v>2.27292642078765</v>
      </c>
    </row>
    <row r="262" spans="1:8">
      <c r="A262" s="1" t="s">
        <v>108</v>
      </c>
      <c r="B262" s="2">
        <v>0.02</v>
      </c>
      <c r="C262" s="1" t="s">
        <v>110</v>
      </c>
      <c r="D262" s="2">
        <v>0.898121804798333</v>
      </c>
      <c r="E262" s="2">
        <v>0.0222686943943988</v>
      </c>
      <c r="F262" s="1" t="s">
        <v>399</v>
      </c>
      <c r="G262" s="2">
        <v>-1.27893237109756</v>
      </c>
      <c r="H262" s="2">
        <v>2.27292642078765</v>
      </c>
    </row>
    <row r="263" spans="1:8">
      <c r="A263" s="1" t="s">
        <v>108</v>
      </c>
      <c r="B263" s="2">
        <v>1.8</v>
      </c>
      <c r="C263" s="1" t="s">
        <v>110</v>
      </c>
      <c r="D263" s="2">
        <v>0.898121804798333</v>
      </c>
      <c r="E263" s="2">
        <v>2.0041824954959</v>
      </c>
      <c r="F263" s="1" t="s">
        <v>399</v>
      </c>
      <c r="G263" s="2">
        <v>-1.27893237109756</v>
      </c>
      <c r="H263" s="2">
        <v>2.27292642078765</v>
      </c>
    </row>
    <row r="264" spans="1:8">
      <c r="A264" s="1" t="s">
        <v>108</v>
      </c>
      <c r="B264" s="2">
        <v>0.49</v>
      </c>
      <c r="C264" s="1" t="s">
        <v>110</v>
      </c>
      <c r="D264" s="2">
        <v>0.898121804798333</v>
      </c>
      <c r="E264" s="2">
        <v>0.545583012662772</v>
      </c>
      <c r="F264" s="1" t="s">
        <v>399</v>
      </c>
      <c r="G264" s="2">
        <v>-1.27893237109756</v>
      </c>
      <c r="H264" s="2">
        <v>2.27292642078765</v>
      </c>
    </row>
    <row r="265" spans="1:8">
      <c r="A265" s="1" t="s">
        <v>108</v>
      </c>
      <c r="B265" s="2">
        <v>1.21</v>
      </c>
      <c r="C265" s="1" t="s">
        <v>110</v>
      </c>
      <c r="D265" s="2">
        <v>0.898121804798333</v>
      </c>
      <c r="E265" s="2">
        <v>1.34725601086113</v>
      </c>
      <c r="F265" s="1" t="s">
        <v>399</v>
      </c>
      <c r="G265" s="2">
        <v>-1.27893237109756</v>
      </c>
      <c r="H265" s="2">
        <v>2.27292642078765</v>
      </c>
    </row>
    <row r="266" spans="1:8">
      <c r="A266" s="1" t="s">
        <v>108</v>
      </c>
      <c r="B266" s="2">
        <v>0.04</v>
      </c>
      <c r="C266" s="1" t="s">
        <v>110</v>
      </c>
      <c r="D266" s="2">
        <v>0.898121804798333</v>
      </c>
      <c r="E266" s="2">
        <v>0.0445373887887977</v>
      </c>
      <c r="F266" s="1" t="s">
        <v>399</v>
      </c>
      <c r="G266" s="2">
        <v>-1.27893237109756</v>
      </c>
      <c r="H266" s="2">
        <v>2.27292642078765</v>
      </c>
    </row>
    <row r="267" spans="1:8">
      <c r="A267" s="1" t="s">
        <v>108</v>
      </c>
      <c r="B267" s="2">
        <v>2.57</v>
      </c>
      <c r="C267" s="1" t="s">
        <v>110</v>
      </c>
      <c r="D267" s="2">
        <v>0.898121804798333</v>
      </c>
      <c r="E267" s="2">
        <v>2.86152722968025</v>
      </c>
      <c r="F267" s="1" t="s">
        <v>400</v>
      </c>
      <c r="G267" s="2">
        <v>-1.27893237109756</v>
      </c>
      <c r="H267" s="2">
        <v>2.27292642078765</v>
      </c>
    </row>
    <row r="268" spans="1:8">
      <c r="A268" s="1" t="s">
        <v>108</v>
      </c>
      <c r="B268" s="2">
        <v>0.86</v>
      </c>
      <c r="C268" s="1" t="s">
        <v>110</v>
      </c>
      <c r="D268" s="2">
        <v>0.898121804798333</v>
      </c>
      <c r="E268" s="2">
        <v>0.95755385895915</v>
      </c>
      <c r="F268" s="1" t="s">
        <v>399</v>
      </c>
      <c r="G268" s="2">
        <v>-1.27893237109756</v>
      </c>
      <c r="H268" s="2">
        <v>2.27292642078765</v>
      </c>
    </row>
    <row r="269" spans="1:8">
      <c r="A269" s="1" t="s">
        <v>154</v>
      </c>
      <c r="B269" s="2">
        <v>0.52</v>
      </c>
      <c r="C269" s="1" t="s">
        <v>110</v>
      </c>
      <c r="D269" s="2">
        <v>0.945470448484017</v>
      </c>
      <c r="E269" s="2">
        <v>0.549990748874041</v>
      </c>
      <c r="F269" s="1" t="s">
        <v>399</v>
      </c>
      <c r="G269" s="2">
        <v>-0.371903263198752</v>
      </c>
      <c r="H269" s="2">
        <v>0.767296975436132</v>
      </c>
    </row>
    <row r="270" spans="1:8">
      <c r="A270" s="1" t="s">
        <v>112</v>
      </c>
      <c r="B270" s="2">
        <v>1.25</v>
      </c>
      <c r="C270" s="1" t="s">
        <v>110</v>
      </c>
      <c r="D270" s="2">
        <v>0.995980980414355</v>
      </c>
      <c r="E270" s="2">
        <v>1.25504404660415</v>
      </c>
      <c r="F270" s="1" t="s">
        <v>399</v>
      </c>
      <c r="G270" s="2">
        <v>-3.3755808488784</v>
      </c>
      <c r="H270" s="2">
        <v>6.82112077050964</v>
      </c>
    </row>
    <row r="271" spans="1:8">
      <c r="A271" s="1" t="s">
        <v>108</v>
      </c>
      <c r="B271" s="2">
        <v>0.69</v>
      </c>
      <c r="C271" s="1" t="s">
        <v>110</v>
      </c>
      <c r="D271" s="2">
        <v>0.898121804798333</v>
      </c>
      <c r="E271" s="2">
        <v>0.76826995660676</v>
      </c>
      <c r="F271" s="1" t="s">
        <v>399</v>
      </c>
      <c r="G271" s="2">
        <v>-1.27893237109756</v>
      </c>
      <c r="H271" s="2">
        <v>2.27292642078765</v>
      </c>
    </row>
    <row r="272" spans="1:8">
      <c r="A272" s="1" t="s">
        <v>108</v>
      </c>
      <c r="B272" s="2">
        <v>3.5</v>
      </c>
      <c r="C272" s="1" t="s">
        <v>110</v>
      </c>
      <c r="D272" s="2">
        <v>0.898121804798333</v>
      </c>
      <c r="E272" s="2">
        <v>3.8970215190198</v>
      </c>
      <c r="F272" s="1" t="s">
        <v>400</v>
      </c>
      <c r="G272" s="2">
        <v>-1.27893237109756</v>
      </c>
      <c r="H272" s="2">
        <v>2.27292642078765</v>
      </c>
    </row>
    <row r="273" spans="1:8">
      <c r="A273" s="1" t="s">
        <v>108</v>
      </c>
      <c r="B273" s="2">
        <v>1.84545454545455</v>
      </c>
      <c r="C273" s="1" t="s">
        <v>110</v>
      </c>
      <c r="D273" s="2">
        <v>0.898121804798333</v>
      </c>
      <c r="E273" s="2">
        <v>2.05479316457408</v>
      </c>
      <c r="F273" s="1" t="s">
        <v>399</v>
      </c>
      <c r="G273" s="2">
        <v>-1.27893237109756</v>
      </c>
      <c r="H273" s="2">
        <v>2.27292642078765</v>
      </c>
    </row>
    <row r="274" spans="1:8">
      <c r="A274" s="1" t="s">
        <v>108</v>
      </c>
      <c r="B274" s="2">
        <v>1.97272727272727</v>
      </c>
      <c r="C274" s="1" t="s">
        <v>110</v>
      </c>
      <c r="D274" s="2">
        <v>0.898121804798333</v>
      </c>
      <c r="E274" s="2">
        <v>2.19650303799297</v>
      </c>
      <c r="F274" s="1" t="s">
        <v>399</v>
      </c>
      <c r="G274" s="2">
        <v>-1.27893237109756</v>
      </c>
      <c r="H274" s="2">
        <v>2.27292642078765</v>
      </c>
    </row>
    <row r="275" spans="1:8">
      <c r="A275" s="1" t="s">
        <v>108</v>
      </c>
      <c r="B275" s="2">
        <v>1.33636363636364</v>
      </c>
      <c r="C275" s="1" t="s">
        <v>110</v>
      </c>
      <c r="D275" s="2">
        <v>0.898121804798333</v>
      </c>
      <c r="E275" s="2">
        <v>1.48795367089847</v>
      </c>
      <c r="F275" s="1" t="s">
        <v>399</v>
      </c>
      <c r="G275" s="2">
        <v>-1.27893237109756</v>
      </c>
      <c r="H275" s="2">
        <v>2.27292642078765</v>
      </c>
    </row>
    <row r="276" spans="1:8">
      <c r="A276" s="1" t="s">
        <v>108</v>
      </c>
      <c r="B276" s="2">
        <v>6.04545454545455</v>
      </c>
      <c r="C276" s="1" t="s">
        <v>110</v>
      </c>
      <c r="D276" s="2">
        <v>0.898121804798333</v>
      </c>
      <c r="E276" s="2">
        <v>6.73121898739784</v>
      </c>
      <c r="F276" s="1" t="s">
        <v>400</v>
      </c>
      <c r="G276" s="2">
        <v>-1.27893237109756</v>
      </c>
      <c r="H276" s="2">
        <v>2.27292642078765</v>
      </c>
    </row>
    <row r="277" spans="1:8">
      <c r="A277" s="1" t="s">
        <v>108</v>
      </c>
      <c r="B277" s="2">
        <v>3.11818181818182</v>
      </c>
      <c r="C277" s="1" t="s">
        <v>110</v>
      </c>
      <c r="D277" s="2">
        <v>0.898121804798333</v>
      </c>
      <c r="E277" s="2">
        <v>3.47189189876309</v>
      </c>
      <c r="F277" s="1" t="s">
        <v>400</v>
      </c>
      <c r="G277" s="2">
        <v>-1.27893237109756</v>
      </c>
      <c r="H277" s="2">
        <v>2.27292642078765</v>
      </c>
    </row>
    <row r="278" spans="1:8">
      <c r="A278" s="1" t="s">
        <v>108</v>
      </c>
      <c r="B278" s="2">
        <v>2.41818181818182</v>
      </c>
      <c r="C278" s="1" t="s">
        <v>110</v>
      </c>
      <c r="D278" s="2">
        <v>0.898121804798333</v>
      </c>
      <c r="E278" s="2">
        <v>2.69248759495913</v>
      </c>
      <c r="F278" s="1" t="s">
        <v>400</v>
      </c>
      <c r="G278" s="2">
        <v>-1.27893237109756</v>
      </c>
      <c r="H278" s="2">
        <v>2.27292642078765</v>
      </c>
    </row>
    <row r="279" spans="1:8">
      <c r="A279" s="1" t="s">
        <v>108</v>
      </c>
      <c r="B279" s="2">
        <v>0.184545454545455</v>
      </c>
      <c r="C279" s="1" t="s">
        <v>110</v>
      </c>
      <c r="D279" s="2">
        <v>0.898121804798333</v>
      </c>
      <c r="E279" s="2">
        <v>0.205479316457408</v>
      </c>
      <c r="F279" s="1" t="s">
        <v>399</v>
      </c>
      <c r="G279" s="2">
        <v>-1.27893237109756</v>
      </c>
      <c r="H279" s="2">
        <v>2.27292642078765</v>
      </c>
    </row>
    <row r="280" spans="1:8">
      <c r="A280" s="1" t="s">
        <v>108</v>
      </c>
      <c r="B280" s="2">
        <v>0.890909090909091</v>
      </c>
      <c r="C280" s="1" t="s">
        <v>110</v>
      </c>
      <c r="D280" s="2">
        <v>0.898121804798333</v>
      </c>
      <c r="E280" s="2">
        <v>0.991969113932312</v>
      </c>
      <c r="F280" s="1" t="s">
        <v>399</v>
      </c>
      <c r="G280" s="2">
        <v>-1.27893237109756</v>
      </c>
      <c r="H280" s="2">
        <v>2.27292642078765</v>
      </c>
    </row>
    <row r="281" spans="1:8">
      <c r="A281" s="1" t="s">
        <v>108</v>
      </c>
      <c r="B281" s="2">
        <v>0.827272727272727</v>
      </c>
      <c r="C281" s="1" t="s">
        <v>110</v>
      </c>
      <c r="D281" s="2">
        <v>0.898121804798333</v>
      </c>
      <c r="E281" s="2">
        <v>0.921114177222861</v>
      </c>
      <c r="F281" s="1" t="s">
        <v>399</v>
      </c>
      <c r="G281" s="2">
        <v>-1.27893237109756</v>
      </c>
      <c r="H281" s="2">
        <v>2.27292642078765</v>
      </c>
    </row>
    <row r="282" spans="1:8">
      <c r="A282" s="1" t="s">
        <v>108</v>
      </c>
      <c r="B282" s="2">
        <v>1.9</v>
      </c>
      <c r="C282" s="1" t="s">
        <v>110</v>
      </c>
      <c r="D282" s="2">
        <v>0.898121804798333</v>
      </c>
      <c r="E282" s="2">
        <v>2.11552596746789</v>
      </c>
      <c r="F282" s="1" t="s">
        <v>399</v>
      </c>
      <c r="G282" s="2">
        <v>-1.27893237109756</v>
      </c>
      <c r="H282" s="2">
        <v>2.27292642078765</v>
      </c>
    </row>
    <row r="283" spans="1:8">
      <c r="A283" s="1" t="s">
        <v>263</v>
      </c>
      <c r="B283" s="2">
        <v>0.252</v>
      </c>
      <c r="C283" s="1" t="s">
        <v>114</v>
      </c>
      <c r="D283" s="2">
        <v>0.919960813526214</v>
      </c>
      <c r="E283" s="2">
        <v>0.252</v>
      </c>
      <c r="F283" s="1" t="s">
        <v>400</v>
      </c>
      <c r="G283" s="2">
        <v>-0.0501657318184515</v>
      </c>
      <c r="H283" s="2">
        <v>0.216415877141424</v>
      </c>
    </row>
    <row r="284" spans="1:8">
      <c r="A284" s="1" t="s">
        <v>263</v>
      </c>
      <c r="B284" s="2">
        <v>0.049802371541502</v>
      </c>
      <c r="C284" s="1" t="s">
        <v>114</v>
      </c>
      <c r="D284" s="2">
        <v>0.919960813526214</v>
      </c>
      <c r="E284" s="2">
        <v>0.049802371541502</v>
      </c>
      <c r="F284" s="1" t="s">
        <v>399</v>
      </c>
      <c r="G284" s="2">
        <v>-0.0501657318184515</v>
      </c>
      <c r="H284" s="2">
        <v>0.216415877141424</v>
      </c>
    </row>
    <row r="285" spans="1:8">
      <c r="A285" s="1" t="s">
        <v>136</v>
      </c>
      <c r="B285" s="2">
        <v>0.147</v>
      </c>
      <c r="C285" s="1" t="s">
        <v>110</v>
      </c>
      <c r="D285" s="2">
        <v>0.919960813526214</v>
      </c>
      <c r="E285" s="2">
        <v>0.159789414764905</v>
      </c>
      <c r="F285" s="1" t="s">
        <v>399</v>
      </c>
      <c r="G285" s="2">
        <v>-1.36343949725763</v>
      </c>
      <c r="H285" s="2">
        <v>2.6985042681358</v>
      </c>
    </row>
    <row r="286" spans="1:8">
      <c r="A286" s="1" t="s">
        <v>154</v>
      </c>
      <c r="B286" s="2">
        <v>0.126419161676647</v>
      </c>
      <c r="C286" s="1" t="s">
        <v>110</v>
      </c>
      <c r="D286" s="2">
        <v>0.945470448484017</v>
      </c>
      <c r="E286" s="2">
        <v>0.133710325774168</v>
      </c>
      <c r="F286" s="1" t="s">
        <v>399</v>
      </c>
      <c r="G286" s="2">
        <v>-0.371903263198752</v>
      </c>
      <c r="H286" s="2">
        <v>0.767296975436132</v>
      </c>
    </row>
    <row r="287" spans="1:8">
      <c r="A287" s="1" t="s">
        <v>126</v>
      </c>
      <c r="B287" s="2">
        <v>0.121774784885896</v>
      </c>
      <c r="C287" s="1" t="s">
        <v>110</v>
      </c>
      <c r="D287" s="2">
        <v>0.911358608023812</v>
      </c>
      <c r="E287" s="2">
        <v>0.133618955056509</v>
      </c>
      <c r="F287" s="1" t="s">
        <v>399</v>
      </c>
      <c r="G287" s="2">
        <v>-2.41700054652004</v>
      </c>
      <c r="H287" s="2">
        <v>4.24620837687132</v>
      </c>
    </row>
    <row r="288" spans="1:8">
      <c r="A288" s="1" t="s">
        <v>126</v>
      </c>
      <c r="B288" s="2">
        <v>0.105677233429395</v>
      </c>
      <c r="C288" s="1" t="s">
        <v>110</v>
      </c>
      <c r="D288" s="2">
        <v>0.911358608023812</v>
      </c>
      <c r="E288" s="2">
        <v>0.115955708871336</v>
      </c>
      <c r="F288" s="1" t="s">
        <v>399</v>
      </c>
      <c r="G288" s="2">
        <v>-2.41700054652004</v>
      </c>
      <c r="H288" s="2">
        <v>4.24620837687132</v>
      </c>
    </row>
    <row r="289" spans="1:8">
      <c r="A289" s="1" t="s">
        <v>126</v>
      </c>
      <c r="B289" s="2">
        <v>3.5730407523511</v>
      </c>
      <c r="C289" s="1" t="s">
        <v>114</v>
      </c>
      <c r="D289" s="2">
        <v>0.911358608023812</v>
      </c>
      <c r="E289" s="2">
        <v>3.5730407523511</v>
      </c>
      <c r="F289" s="1" t="s">
        <v>399</v>
      </c>
      <c r="G289" s="2">
        <v>-2.41700054652004</v>
      </c>
      <c r="H289" s="2">
        <v>4.24620837687132</v>
      </c>
    </row>
    <row r="290" spans="1:8">
      <c r="A290" s="1" t="s">
        <v>126</v>
      </c>
      <c r="B290" s="2">
        <v>0.3879</v>
      </c>
      <c r="C290" s="1" t="s">
        <v>114</v>
      </c>
      <c r="D290" s="2">
        <v>0.911358608023812</v>
      </c>
      <c r="E290" s="2">
        <v>0.3879</v>
      </c>
      <c r="F290" s="1" t="s">
        <v>399</v>
      </c>
      <c r="G290" s="2">
        <v>-2.41700054652004</v>
      </c>
      <c r="H290" s="2">
        <v>4.24620837687132</v>
      </c>
    </row>
    <row r="291" spans="1:8">
      <c r="A291" s="1" t="s">
        <v>126</v>
      </c>
      <c r="B291" s="2">
        <v>4.4982</v>
      </c>
      <c r="C291" s="1" t="s">
        <v>114</v>
      </c>
      <c r="D291" s="2">
        <v>0.911358608023812</v>
      </c>
      <c r="E291" s="2">
        <v>4.4982</v>
      </c>
      <c r="F291" s="1" t="s">
        <v>400</v>
      </c>
      <c r="G291" s="2">
        <v>-2.41700054652004</v>
      </c>
      <c r="H291" s="2">
        <v>4.24620837687132</v>
      </c>
    </row>
    <row r="292" spans="1:8">
      <c r="A292" s="1" t="s">
        <v>126</v>
      </c>
      <c r="B292" s="2">
        <v>0.332928</v>
      </c>
      <c r="C292" s="1" t="s">
        <v>114</v>
      </c>
      <c r="D292" s="2">
        <v>0.911358608023812</v>
      </c>
      <c r="E292" s="2">
        <v>0.332928</v>
      </c>
      <c r="F292" s="1" t="s">
        <v>399</v>
      </c>
      <c r="G292" s="2">
        <v>-2.41700054652004</v>
      </c>
      <c r="H292" s="2">
        <v>4.24620837687132</v>
      </c>
    </row>
    <row r="293" spans="1:8">
      <c r="A293" s="1" t="s">
        <v>126</v>
      </c>
      <c r="B293" s="2">
        <v>0.038829</v>
      </c>
      <c r="C293" s="1" t="s">
        <v>114</v>
      </c>
      <c r="D293" s="2">
        <v>0.911358608023812</v>
      </c>
      <c r="E293" s="2">
        <v>0.038829</v>
      </c>
      <c r="F293" s="1" t="s">
        <v>399</v>
      </c>
      <c r="G293" s="2">
        <v>-2.41700054652004</v>
      </c>
      <c r="H293" s="2">
        <v>4.24620837687132</v>
      </c>
    </row>
    <row r="294" spans="1:8">
      <c r="A294" s="1" t="s">
        <v>126</v>
      </c>
      <c r="B294" s="2">
        <v>0.054839</v>
      </c>
      <c r="C294" s="1" t="s">
        <v>114</v>
      </c>
      <c r="D294" s="2">
        <v>0.911358608023812</v>
      </c>
      <c r="E294" s="2">
        <v>0.054839</v>
      </c>
      <c r="F294" s="1" t="s">
        <v>399</v>
      </c>
      <c r="G294" s="2">
        <v>-2.41700054652004</v>
      </c>
      <c r="H294" s="2">
        <v>4.24620837687132</v>
      </c>
    </row>
    <row r="295" spans="1:8">
      <c r="A295" s="1" t="s">
        <v>108</v>
      </c>
      <c r="B295" s="2">
        <v>0.374385245901639</v>
      </c>
      <c r="C295" s="1" t="s">
        <v>110</v>
      </c>
      <c r="D295" s="2">
        <v>0.898121804798333</v>
      </c>
      <c r="E295" s="2">
        <v>0.416853531337773</v>
      </c>
      <c r="F295" s="1" t="s">
        <v>399</v>
      </c>
      <c r="G295" s="2">
        <v>-1.27893237109756</v>
      </c>
      <c r="H295" s="2">
        <v>2.27292642078765</v>
      </c>
    </row>
    <row r="296" spans="1:8">
      <c r="A296" s="1" t="s">
        <v>108</v>
      </c>
      <c r="B296" s="2">
        <v>0.394533902415365</v>
      </c>
      <c r="C296" s="1" t="s">
        <v>110</v>
      </c>
      <c r="D296" s="2">
        <v>0.898121804798333</v>
      </c>
      <c r="E296" s="2">
        <v>0.439287745055867</v>
      </c>
      <c r="F296" s="1" t="s">
        <v>399</v>
      </c>
      <c r="G296" s="2">
        <v>-1.27893237109756</v>
      </c>
      <c r="H296" s="2">
        <v>2.27292642078765</v>
      </c>
    </row>
    <row r="297" spans="1:8">
      <c r="A297" s="1" t="s">
        <v>249</v>
      </c>
      <c r="B297" s="2">
        <v>0.00854090471607315</v>
      </c>
      <c r="C297" s="1" t="s">
        <v>110</v>
      </c>
      <c r="D297" s="2">
        <v>0.919960813526214</v>
      </c>
      <c r="E297" s="2">
        <v>0.00928398752479013</v>
      </c>
      <c r="F297" s="1" t="s">
        <v>399</v>
      </c>
      <c r="G297" s="2">
        <v>-1.58689734456032</v>
      </c>
      <c r="H297" s="2">
        <v>3.0168975350695</v>
      </c>
    </row>
    <row r="298" spans="1:8">
      <c r="A298" s="1" t="s">
        <v>249</v>
      </c>
      <c r="B298" s="2">
        <v>0.216716417910448</v>
      </c>
      <c r="C298" s="1" t="s">
        <v>110</v>
      </c>
      <c r="D298" s="2">
        <v>0.919960813526214</v>
      </c>
      <c r="E298" s="2">
        <v>0.235571357740525</v>
      </c>
      <c r="F298" s="1" t="s">
        <v>399</v>
      </c>
      <c r="G298" s="2">
        <v>-1.58689734456032</v>
      </c>
      <c r="H298" s="2">
        <v>3.0168975350695</v>
      </c>
    </row>
    <row r="299" spans="1:8">
      <c r="A299" s="1" t="s">
        <v>249</v>
      </c>
      <c r="B299" s="2">
        <v>0.04</v>
      </c>
      <c r="C299" s="1" t="s">
        <v>110</v>
      </c>
      <c r="D299" s="2">
        <v>0.919960813526214</v>
      </c>
      <c r="E299" s="2">
        <v>0.0434801128611987</v>
      </c>
      <c r="F299" s="1" t="s">
        <v>399</v>
      </c>
      <c r="G299" s="2">
        <v>-1.58689734456032</v>
      </c>
      <c r="H299" s="2">
        <v>3.0168975350695</v>
      </c>
    </row>
    <row r="300" spans="1:8">
      <c r="A300" s="1" t="s">
        <v>174</v>
      </c>
      <c r="B300" s="2">
        <v>0.005</v>
      </c>
      <c r="C300" s="1" t="s">
        <v>110</v>
      </c>
      <c r="D300" s="2">
        <v>0.919960813526214</v>
      </c>
      <c r="E300" s="2">
        <v>0.00543501410764984</v>
      </c>
      <c r="F300" s="1" t="s">
        <v>399</v>
      </c>
      <c r="G300" s="2">
        <v>-0.214683057252169</v>
      </c>
      <c r="H300" s="2">
        <v>0.459258692096412</v>
      </c>
    </row>
    <row r="301" spans="1:8">
      <c r="A301" s="1" t="s">
        <v>108</v>
      </c>
      <c r="B301" s="2">
        <v>0.04</v>
      </c>
      <c r="C301" s="1" t="s">
        <v>110</v>
      </c>
      <c r="D301" s="2">
        <v>0.898121804798333</v>
      </c>
      <c r="E301" s="2">
        <v>0.0445373887887977</v>
      </c>
      <c r="F301" s="1" t="s">
        <v>399</v>
      </c>
      <c r="G301" s="2">
        <v>-1.27893237109756</v>
      </c>
      <c r="H301" s="2">
        <v>2.27292642078765</v>
      </c>
    </row>
    <row r="302" spans="1:8">
      <c r="A302" s="1" t="s">
        <v>108</v>
      </c>
      <c r="B302" s="2">
        <v>0.26</v>
      </c>
      <c r="C302" s="1" t="s">
        <v>110</v>
      </c>
      <c r="D302" s="2">
        <v>0.898121804798333</v>
      </c>
      <c r="E302" s="2">
        <v>0.289493027127185</v>
      </c>
      <c r="F302" s="1" t="s">
        <v>399</v>
      </c>
      <c r="G302" s="2">
        <v>-1.27893237109756</v>
      </c>
      <c r="H302" s="2">
        <v>2.27292642078765</v>
      </c>
    </row>
    <row r="303" spans="1:8">
      <c r="A303" s="1" t="s">
        <v>108</v>
      </c>
      <c r="B303" s="2">
        <v>0.3</v>
      </c>
      <c r="C303" s="1" t="s">
        <v>110</v>
      </c>
      <c r="D303" s="2">
        <v>0.898121804798333</v>
      </c>
      <c r="E303" s="2">
        <v>0.334030415915982</v>
      </c>
      <c r="F303" s="1" t="s">
        <v>399</v>
      </c>
      <c r="G303" s="2">
        <v>-1.27893237109756</v>
      </c>
      <c r="H303" s="2">
        <v>2.27292642078765</v>
      </c>
    </row>
    <row r="304" spans="1:8">
      <c r="A304" s="1" t="s">
        <v>108</v>
      </c>
      <c r="B304" s="2">
        <v>0.02</v>
      </c>
      <c r="C304" s="1" t="s">
        <v>110</v>
      </c>
      <c r="D304" s="2">
        <v>0.898121804798333</v>
      </c>
      <c r="E304" s="2">
        <v>0.0222686943943988</v>
      </c>
      <c r="F304" s="1" t="s">
        <v>399</v>
      </c>
      <c r="G304" s="2">
        <v>-1.27893237109756</v>
      </c>
      <c r="H304" s="2">
        <v>2.27292642078765</v>
      </c>
    </row>
    <row r="305" spans="1:8">
      <c r="A305" s="1" t="s">
        <v>184</v>
      </c>
      <c r="B305" s="2">
        <v>0.0827272727272727</v>
      </c>
      <c r="C305" s="1" t="s">
        <v>110</v>
      </c>
      <c r="D305" s="2">
        <v>0.865259126364145</v>
      </c>
      <c r="E305" s="2">
        <v>0.095609823932047</v>
      </c>
      <c r="F305" s="1" t="s">
        <v>399</v>
      </c>
      <c r="G305" s="2">
        <v>-1.4516067198867</v>
      </c>
      <c r="H305" s="2">
        <v>2.47096403193202</v>
      </c>
    </row>
    <row r="306" spans="1:8">
      <c r="A306" s="1" t="s">
        <v>184</v>
      </c>
      <c r="B306" s="2">
        <v>0.0190909090909091</v>
      </c>
      <c r="C306" s="1" t="s">
        <v>110</v>
      </c>
      <c r="D306" s="2">
        <v>0.865259126364145</v>
      </c>
      <c r="E306" s="2">
        <v>0.0220638055227801</v>
      </c>
      <c r="F306" s="1" t="s">
        <v>399</v>
      </c>
      <c r="G306" s="2">
        <v>-1.4516067198867</v>
      </c>
      <c r="H306" s="2">
        <v>2.47096403193202</v>
      </c>
    </row>
    <row r="307" spans="1:8">
      <c r="A307" s="1" t="s">
        <v>184</v>
      </c>
      <c r="B307" s="2">
        <v>0.0127272727272727</v>
      </c>
      <c r="C307" s="1" t="s">
        <v>110</v>
      </c>
      <c r="D307" s="2">
        <v>0.865259126364145</v>
      </c>
      <c r="E307" s="2">
        <v>0.0147092036818534</v>
      </c>
      <c r="F307" s="1" t="s">
        <v>399</v>
      </c>
      <c r="G307" s="2">
        <v>-1.4516067198867</v>
      </c>
      <c r="H307" s="2">
        <v>2.47096403193202</v>
      </c>
    </row>
    <row r="308" spans="1:8">
      <c r="A308" s="1" t="s">
        <v>184</v>
      </c>
      <c r="B308" s="2">
        <v>0.0509090909090909</v>
      </c>
      <c r="C308" s="1" t="s">
        <v>110</v>
      </c>
      <c r="D308" s="2">
        <v>0.865259126364145</v>
      </c>
      <c r="E308" s="2">
        <v>0.0588368147274135</v>
      </c>
      <c r="F308" s="1" t="s">
        <v>399</v>
      </c>
      <c r="G308" s="2">
        <v>-1.4516067198867</v>
      </c>
      <c r="H308" s="2">
        <v>2.47096403193202</v>
      </c>
    </row>
    <row r="309" spans="1:8">
      <c r="A309" s="1" t="s">
        <v>117</v>
      </c>
      <c r="B309" s="2">
        <v>0.116</v>
      </c>
      <c r="C309" s="1" t="s">
        <v>110</v>
      </c>
      <c r="D309" s="2">
        <v>0.992403236892688</v>
      </c>
      <c r="E309" s="2">
        <v>0.116887970219855</v>
      </c>
      <c r="F309" s="1" t="s">
        <v>399</v>
      </c>
      <c r="G309" s="2">
        <v>-1.14230280379727</v>
      </c>
      <c r="H309" s="2">
        <v>2.05579236761459</v>
      </c>
    </row>
    <row r="310" spans="1:8">
      <c r="A310" s="1" t="s">
        <v>112</v>
      </c>
      <c r="B310" s="2">
        <v>0.168260869565217</v>
      </c>
      <c r="C310" s="1" t="s">
        <v>110</v>
      </c>
      <c r="D310" s="2">
        <v>0.995980980414355</v>
      </c>
      <c r="E310" s="2">
        <v>0.16893984209941</v>
      </c>
      <c r="F310" s="1" t="s">
        <v>399</v>
      </c>
      <c r="G310" s="2">
        <v>-3.3755808488784</v>
      </c>
      <c r="H310" s="2">
        <v>6.82112077050964</v>
      </c>
    </row>
    <row r="311" spans="1:8">
      <c r="A311" s="1" t="s">
        <v>112</v>
      </c>
      <c r="B311" s="2">
        <v>2.18739130434783</v>
      </c>
      <c r="C311" s="1" t="s">
        <v>110</v>
      </c>
      <c r="D311" s="2">
        <v>0.995980980414355</v>
      </c>
      <c r="E311" s="2">
        <v>2.19621794729234</v>
      </c>
      <c r="F311" s="1" t="s">
        <v>399</v>
      </c>
      <c r="G311" s="2">
        <v>-3.3755808488784</v>
      </c>
      <c r="H311" s="2">
        <v>6.82112077050964</v>
      </c>
    </row>
    <row r="312" spans="1:8">
      <c r="A312" s="1" t="s">
        <v>112</v>
      </c>
      <c r="B312" s="2">
        <v>2.58</v>
      </c>
      <c r="C312" s="1" t="s">
        <v>110</v>
      </c>
      <c r="D312" s="2">
        <v>0.995980980414355</v>
      </c>
      <c r="E312" s="2">
        <v>2.59041091219096</v>
      </c>
      <c r="F312" s="1" t="s">
        <v>399</v>
      </c>
      <c r="G312" s="2">
        <v>-3.3755808488784</v>
      </c>
      <c r="H312" s="2">
        <v>6.82112077050964</v>
      </c>
    </row>
    <row r="313" spans="1:8">
      <c r="A313" s="1" t="s">
        <v>112</v>
      </c>
      <c r="B313" s="2">
        <v>0.439160869565217</v>
      </c>
      <c r="C313" s="1" t="s">
        <v>110</v>
      </c>
      <c r="D313" s="2">
        <v>0.995980980414355</v>
      </c>
      <c r="E313" s="2">
        <v>0.440932987879462</v>
      </c>
      <c r="F313" s="1" t="s">
        <v>399</v>
      </c>
      <c r="G313" s="2">
        <v>-3.3755808488784</v>
      </c>
      <c r="H313" s="2">
        <v>6.82112077050964</v>
      </c>
    </row>
    <row r="314" spans="1:8">
      <c r="A314" s="1" t="s">
        <v>160</v>
      </c>
      <c r="B314" s="2">
        <v>0.31</v>
      </c>
      <c r="C314" s="1" t="s">
        <v>114</v>
      </c>
      <c r="D314" s="2">
        <v>0.919960813526214</v>
      </c>
      <c r="E314" s="2">
        <v>0.31</v>
      </c>
      <c r="F314" s="1" t="s">
        <v>399</v>
      </c>
      <c r="G314" s="2">
        <v>-0.9675</v>
      </c>
      <c r="H314" s="2">
        <v>1.7405</v>
      </c>
    </row>
    <row r="315" spans="1:8">
      <c r="A315" s="1" t="s">
        <v>160</v>
      </c>
      <c r="B315" s="2">
        <v>0.043</v>
      </c>
      <c r="C315" s="1" t="s">
        <v>114</v>
      </c>
      <c r="D315" s="2">
        <v>0.919960813526214</v>
      </c>
      <c r="E315" s="2">
        <v>0.043</v>
      </c>
      <c r="F315" s="1" t="s">
        <v>399</v>
      </c>
      <c r="G315" s="2">
        <v>-0.9675</v>
      </c>
      <c r="H315" s="2">
        <v>1.7405</v>
      </c>
    </row>
    <row r="316" spans="1:8">
      <c r="A316" s="1" t="s">
        <v>160</v>
      </c>
      <c r="B316" s="2">
        <v>0.037</v>
      </c>
      <c r="C316" s="1" t="s">
        <v>114</v>
      </c>
      <c r="D316" s="2">
        <v>0.919960813526214</v>
      </c>
      <c r="E316" s="2">
        <v>0.037</v>
      </c>
      <c r="F316" s="1" t="s">
        <v>399</v>
      </c>
      <c r="G316" s="2">
        <v>-0.9675</v>
      </c>
      <c r="H316" s="2">
        <v>1.7405</v>
      </c>
    </row>
    <row r="317" spans="1:8">
      <c r="A317" s="1" t="s">
        <v>160</v>
      </c>
      <c r="B317" s="2">
        <v>1.6</v>
      </c>
      <c r="C317" s="1" t="s">
        <v>114</v>
      </c>
      <c r="D317" s="2">
        <v>0.919960813526214</v>
      </c>
      <c r="E317" s="2">
        <v>1.6</v>
      </c>
      <c r="F317" s="1" t="s">
        <v>399</v>
      </c>
      <c r="G317" s="2">
        <v>-0.9675</v>
      </c>
      <c r="H317" s="2">
        <v>1.7405</v>
      </c>
    </row>
    <row r="318" spans="1:8">
      <c r="A318" s="1" t="s">
        <v>160</v>
      </c>
      <c r="B318" s="2">
        <v>0.13</v>
      </c>
      <c r="C318" s="1" t="s">
        <v>114</v>
      </c>
      <c r="D318" s="2">
        <v>0.919960813526214</v>
      </c>
      <c r="E318" s="2">
        <v>0.13</v>
      </c>
      <c r="F318" s="1" t="s">
        <v>399</v>
      </c>
      <c r="G318" s="2">
        <v>-0.9675</v>
      </c>
      <c r="H318" s="2">
        <v>1.7405</v>
      </c>
    </row>
    <row r="319" spans="1:8">
      <c r="A319" s="1" t="s">
        <v>160</v>
      </c>
      <c r="B319" s="2">
        <v>0.0037</v>
      </c>
      <c r="C319" s="1" t="s">
        <v>114</v>
      </c>
      <c r="D319" s="2">
        <v>0.919960813526214</v>
      </c>
      <c r="E319" s="2">
        <v>0.0037</v>
      </c>
      <c r="F319" s="1" t="s">
        <v>399</v>
      </c>
      <c r="G319" s="2">
        <v>-0.9675</v>
      </c>
      <c r="H319" s="2">
        <v>1.7405</v>
      </c>
    </row>
    <row r="320" spans="1:8">
      <c r="A320" s="1" t="s">
        <v>160</v>
      </c>
      <c r="B320" s="2">
        <v>0.19</v>
      </c>
      <c r="C320" s="1" t="s">
        <v>114</v>
      </c>
      <c r="D320" s="2">
        <v>0.919960813526214</v>
      </c>
      <c r="E320" s="2">
        <v>0.19</v>
      </c>
      <c r="F320" s="1" t="s">
        <v>399</v>
      </c>
      <c r="G320" s="2">
        <v>-0.9675</v>
      </c>
      <c r="H320" s="2">
        <v>1.7405</v>
      </c>
    </row>
    <row r="321" spans="1:8">
      <c r="A321" s="1" t="s">
        <v>160</v>
      </c>
      <c r="B321" s="2">
        <v>1.4</v>
      </c>
      <c r="C321" s="1" t="s">
        <v>114</v>
      </c>
      <c r="D321" s="2">
        <v>0.919960813526214</v>
      </c>
      <c r="E321" s="2">
        <v>1.4</v>
      </c>
      <c r="F321" s="1" t="s">
        <v>399</v>
      </c>
      <c r="G321" s="2">
        <v>-0.9675</v>
      </c>
      <c r="H321" s="2">
        <v>1.7405</v>
      </c>
    </row>
    <row r="322" spans="1:8">
      <c r="A322" s="1" t="s">
        <v>184</v>
      </c>
      <c r="B322" s="2">
        <v>0.0103824480224779</v>
      </c>
      <c r="C322" s="1" t="s">
        <v>110</v>
      </c>
      <c r="D322" s="2">
        <v>0.865259126364145</v>
      </c>
      <c r="E322" s="2">
        <v>0.011999235496198</v>
      </c>
      <c r="F322" s="1" t="s">
        <v>399</v>
      </c>
      <c r="G322" s="2">
        <v>-1.4516067198867</v>
      </c>
      <c r="H322" s="2">
        <v>2.47096403193202</v>
      </c>
    </row>
    <row r="323" spans="1:8">
      <c r="A323" s="1" t="s">
        <v>108</v>
      </c>
      <c r="B323" s="2">
        <v>0.0464545454545455</v>
      </c>
      <c r="C323" s="1" t="s">
        <v>110</v>
      </c>
      <c r="D323" s="2">
        <v>0.898121804798333</v>
      </c>
      <c r="E323" s="2">
        <v>0.0517241037978992</v>
      </c>
      <c r="F323" s="1" t="s">
        <v>399</v>
      </c>
      <c r="G323" s="2">
        <v>-1.27893237109756</v>
      </c>
      <c r="H323" s="2">
        <v>2.27292642078765</v>
      </c>
    </row>
    <row r="324" spans="1:8">
      <c r="A324" s="1" t="s">
        <v>108</v>
      </c>
      <c r="B324" s="2">
        <v>1.33063636363636</v>
      </c>
      <c r="C324" s="1" t="s">
        <v>110</v>
      </c>
      <c r="D324" s="2">
        <v>0.898121804798333</v>
      </c>
      <c r="E324" s="2">
        <v>1.48157672659461</v>
      </c>
      <c r="F324" s="1" t="s">
        <v>399</v>
      </c>
      <c r="G324" s="2">
        <v>-1.27893237109756</v>
      </c>
      <c r="H324" s="2">
        <v>2.27292642078765</v>
      </c>
    </row>
    <row r="325" spans="1:8">
      <c r="A325" s="1" t="s">
        <v>108</v>
      </c>
      <c r="B325" s="2">
        <v>0.021</v>
      </c>
      <c r="C325" s="1" t="s">
        <v>110</v>
      </c>
      <c r="D325" s="2">
        <v>0.898121804798333</v>
      </c>
      <c r="E325" s="2">
        <v>0.0233821291141188</v>
      </c>
      <c r="F325" s="1" t="s">
        <v>399</v>
      </c>
      <c r="G325" s="2">
        <v>-1.27893237109756</v>
      </c>
      <c r="H325" s="2">
        <v>2.27292642078765</v>
      </c>
    </row>
    <row r="326" spans="1:8">
      <c r="A326" s="1" t="s">
        <v>137</v>
      </c>
      <c r="B326" s="2">
        <v>1</v>
      </c>
      <c r="C326" s="1" t="s">
        <v>114</v>
      </c>
      <c r="D326" s="2">
        <v>0.898085980559174</v>
      </c>
      <c r="E326" s="2">
        <v>1</v>
      </c>
      <c r="F326" s="1" t="s">
        <v>399</v>
      </c>
      <c r="G326" s="2">
        <v>-1.69456803813426</v>
      </c>
      <c r="H326" s="2">
        <v>3.02474082288056</v>
      </c>
    </row>
    <row r="327" spans="1:8">
      <c r="A327" s="1" t="s">
        <v>137</v>
      </c>
      <c r="B327" s="2">
        <v>1.3</v>
      </c>
      <c r="C327" s="1" t="s">
        <v>114</v>
      </c>
      <c r="D327" s="2">
        <v>0.898085980559174</v>
      </c>
      <c r="E327" s="2">
        <v>1.3</v>
      </c>
      <c r="F327" s="1" t="s">
        <v>399</v>
      </c>
      <c r="G327" s="2">
        <v>-1.69456803813426</v>
      </c>
      <c r="H327" s="2">
        <v>3.02474082288056</v>
      </c>
    </row>
    <row r="328" spans="1:8">
      <c r="A328" s="1" t="s">
        <v>184</v>
      </c>
      <c r="B328" s="2">
        <v>0.2</v>
      </c>
      <c r="C328" s="1" t="s">
        <v>114</v>
      </c>
      <c r="D328" s="2">
        <v>0.865259126364145</v>
      </c>
      <c r="E328" s="2">
        <v>0.2</v>
      </c>
      <c r="F328" s="1" t="s">
        <v>399</v>
      </c>
      <c r="G328" s="2">
        <v>-1.4516067198867</v>
      </c>
      <c r="H328" s="2">
        <v>2.47096403193202</v>
      </c>
    </row>
    <row r="329" spans="1:8">
      <c r="A329" s="1" t="s">
        <v>184</v>
      </c>
      <c r="B329" s="2">
        <v>1</v>
      </c>
      <c r="C329" s="1" t="s">
        <v>114</v>
      </c>
      <c r="D329" s="2">
        <v>0.865259126364145</v>
      </c>
      <c r="E329" s="2">
        <v>1</v>
      </c>
      <c r="F329" s="1" t="s">
        <v>399</v>
      </c>
      <c r="G329" s="2">
        <v>-1.4516067198867</v>
      </c>
      <c r="H329" s="2">
        <v>2.47096403193202</v>
      </c>
    </row>
    <row r="330" spans="1:8">
      <c r="A330" s="1" t="s">
        <v>184</v>
      </c>
      <c r="B330" s="2">
        <v>1.3</v>
      </c>
      <c r="C330" s="1" t="s">
        <v>114</v>
      </c>
      <c r="D330" s="2">
        <v>0.865259126364145</v>
      </c>
      <c r="E330" s="2">
        <v>1.3</v>
      </c>
      <c r="F330" s="1" t="s">
        <v>399</v>
      </c>
      <c r="G330" s="2">
        <v>-1.4516067198867</v>
      </c>
      <c r="H330" s="2">
        <v>2.47096403193202</v>
      </c>
    </row>
    <row r="331" spans="1:8">
      <c r="A331" s="1" t="s">
        <v>184</v>
      </c>
      <c r="B331" s="2">
        <v>0.04</v>
      </c>
      <c r="C331" s="1" t="s">
        <v>114</v>
      </c>
      <c r="D331" s="2">
        <v>0.865259126364145</v>
      </c>
      <c r="E331" s="2">
        <v>0.04</v>
      </c>
      <c r="F331" s="1" t="s">
        <v>399</v>
      </c>
      <c r="G331" s="2">
        <v>-1.4516067198867</v>
      </c>
      <c r="H331" s="2">
        <v>2.47096403193202</v>
      </c>
    </row>
    <row r="332" spans="1:8">
      <c r="A332" s="1" t="s">
        <v>184</v>
      </c>
      <c r="B332" s="2">
        <v>1.8</v>
      </c>
      <c r="C332" s="1" t="s">
        <v>114</v>
      </c>
      <c r="D332" s="2">
        <v>0.865259126364145</v>
      </c>
      <c r="E332" s="2">
        <v>1.8</v>
      </c>
      <c r="F332" s="1" t="s">
        <v>399</v>
      </c>
      <c r="G332" s="2">
        <v>-1.4516067198867</v>
      </c>
      <c r="H332" s="2">
        <v>2.47096403193202</v>
      </c>
    </row>
    <row r="333" spans="1:8">
      <c r="A333" s="1" t="s">
        <v>184</v>
      </c>
      <c r="B333" s="2">
        <v>0.24</v>
      </c>
      <c r="C333" s="1" t="s">
        <v>114</v>
      </c>
      <c r="D333" s="2">
        <v>0.865259126364145</v>
      </c>
      <c r="E333" s="2">
        <v>0.24</v>
      </c>
      <c r="F333" s="1" t="s">
        <v>399</v>
      </c>
      <c r="G333" s="2">
        <v>-1.4516067198867</v>
      </c>
      <c r="H333" s="2">
        <v>2.47096403193202</v>
      </c>
    </row>
    <row r="334" spans="1:8">
      <c r="A334" s="1" t="s">
        <v>184</v>
      </c>
      <c r="B334" s="2">
        <v>0.09</v>
      </c>
      <c r="C334" s="1" t="s">
        <v>114</v>
      </c>
      <c r="D334" s="2">
        <v>0.865259126364145</v>
      </c>
      <c r="E334" s="2">
        <v>0.09</v>
      </c>
      <c r="F334" s="1" t="s">
        <v>399</v>
      </c>
      <c r="G334" s="2">
        <v>-1.4516067198867</v>
      </c>
      <c r="H334" s="2">
        <v>2.47096403193202</v>
      </c>
    </row>
    <row r="335" spans="1:8">
      <c r="A335" s="1" t="s">
        <v>184</v>
      </c>
      <c r="B335" s="2">
        <v>1.7</v>
      </c>
      <c r="C335" s="1" t="s">
        <v>114</v>
      </c>
      <c r="D335" s="2">
        <v>0.865259126364145</v>
      </c>
      <c r="E335" s="2">
        <v>1.7</v>
      </c>
      <c r="F335" s="1" t="s">
        <v>399</v>
      </c>
      <c r="G335" s="2">
        <v>-1.4516067198867</v>
      </c>
      <c r="H335" s="2">
        <v>2.47096403193202</v>
      </c>
    </row>
    <row r="336" spans="1:8">
      <c r="A336" s="1" t="s">
        <v>136</v>
      </c>
      <c r="B336" s="2">
        <v>0.209991550031628</v>
      </c>
      <c r="C336" s="1" t="s">
        <v>110</v>
      </c>
      <c r="D336" s="2">
        <v>0.919960813526214</v>
      </c>
      <c r="E336" s="2">
        <v>0.228261407381831</v>
      </c>
      <c r="F336" s="1" t="s">
        <v>399</v>
      </c>
      <c r="G336" s="2">
        <v>-1.36343949725763</v>
      </c>
      <c r="H336" s="2">
        <v>2.6985042681358</v>
      </c>
    </row>
    <row r="337" spans="1:8">
      <c r="A337" s="1" t="s">
        <v>136</v>
      </c>
      <c r="B337" s="2">
        <v>0.19233266766984</v>
      </c>
      <c r="C337" s="1" t="s">
        <v>110</v>
      </c>
      <c r="D337" s="2">
        <v>0.919960813526214</v>
      </c>
      <c r="E337" s="2">
        <v>0.209066152429502</v>
      </c>
      <c r="F337" s="1" t="s">
        <v>399</v>
      </c>
      <c r="G337" s="2">
        <v>-1.36343949725763</v>
      </c>
      <c r="H337" s="2">
        <v>2.6985042681358</v>
      </c>
    </row>
    <row r="338" spans="1:8">
      <c r="A338" s="1" t="s">
        <v>136</v>
      </c>
      <c r="B338" s="2">
        <v>0.150195745366802</v>
      </c>
      <c r="C338" s="1" t="s">
        <v>110</v>
      </c>
      <c r="D338" s="2">
        <v>0.919960813526214</v>
      </c>
      <c r="E338" s="2">
        <v>0.16326319899551</v>
      </c>
      <c r="F338" s="1" t="s">
        <v>399</v>
      </c>
      <c r="G338" s="2">
        <v>-1.36343949725763</v>
      </c>
      <c r="H338" s="2">
        <v>2.6985042681358</v>
      </c>
    </row>
    <row r="339" spans="1:8">
      <c r="A339" s="1" t="s">
        <v>136</v>
      </c>
      <c r="B339" s="2">
        <v>0.125136101198122</v>
      </c>
      <c r="C339" s="1" t="s">
        <v>110</v>
      </c>
      <c r="D339" s="2">
        <v>0.919960813526214</v>
      </c>
      <c r="E339" s="2">
        <v>0.136023295077618</v>
      </c>
      <c r="F339" s="1" t="s">
        <v>399</v>
      </c>
      <c r="G339" s="2">
        <v>-1.36343949725763</v>
      </c>
      <c r="H339" s="2">
        <v>2.6985042681358</v>
      </c>
    </row>
    <row r="340" spans="1:8">
      <c r="A340" s="1" t="s">
        <v>126</v>
      </c>
      <c r="B340" s="2">
        <v>0.576297306175595</v>
      </c>
      <c r="C340" s="1" t="s">
        <v>110</v>
      </c>
      <c r="D340" s="2">
        <v>0.911358608023812</v>
      </c>
      <c r="E340" s="2">
        <v>0.632349660278336</v>
      </c>
      <c r="F340" s="1" t="s">
        <v>399</v>
      </c>
      <c r="G340" s="2">
        <v>-2.41700054652004</v>
      </c>
      <c r="H340" s="2">
        <v>4.24620837687132</v>
      </c>
    </row>
    <row r="341" spans="1:8">
      <c r="A341" s="1" t="s">
        <v>139</v>
      </c>
      <c r="B341" s="2">
        <v>0.0149129782891007</v>
      </c>
      <c r="C341" s="1" t="s">
        <v>110</v>
      </c>
      <c r="D341" s="2">
        <v>0.919960813526214</v>
      </c>
      <c r="E341" s="2">
        <v>0.0162104494776676</v>
      </c>
      <c r="F341" s="1" t="s">
        <v>399</v>
      </c>
      <c r="G341" s="2">
        <v>-2.67038668339085</v>
      </c>
      <c r="H341" s="2">
        <v>4.6462391012346</v>
      </c>
    </row>
    <row r="342" spans="1:8">
      <c r="A342" s="1" t="s">
        <v>112</v>
      </c>
      <c r="B342" s="2">
        <v>0.335425111948449</v>
      </c>
      <c r="C342" s="1" t="s">
        <v>110</v>
      </c>
      <c r="D342" s="2">
        <v>0.995980980414355</v>
      </c>
      <c r="E342" s="2">
        <v>0.336778631865945</v>
      </c>
      <c r="F342" s="1" t="s">
        <v>399</v>
      </c>
      <c r="G342" s="2">
        <v>-3.3755808488784</v>
      </c>
      <c r="H342" s="2">
        <v>6.82112077050964</v>
      </c>
    </row>
    <row r="343" spans="1:8">
      <c r="A343" s="1" t="s">
        <v>154</v>
      </c>
      <c r="B343" s="2">
        <v>0.52</v>
      </c>
      <c r="C343" s="1" t="s">
        <v>110</v>
      </c>
      <c r="D343" s="2">
        <v>0.945470448484017</v>
      </c>
      <c r="E343" s="2">
        <v>0.549990748874041</v>
      </c>
      <c r="F343" s="1" t="s">
        <v>399</v>
      </c>
      <c r="G343" s="2">
        <v>-0.371903263198752</v>
      </c>
      <c r="H343" s="2">
        <v>0.767296975436132</v>
      </c>
    </row>
    <row r="344" spans="1:8">
      <c r="A344" s="1" t="s">
        <v>112</v>
      </c>
      <c r="B344" s="2">
        <v>1.25</v>
      </c>
      <c r="C344" s="1" t="s">
        <v>110</v>
      </c>
      <c r="D344" s="2">
        <v>0.995980980414355</v>
      </c>
      <c r="E344" s="2">
        <v>1.25504404660415</v>
      </c>
      <c r="F344" s="1" t="s">
        <v>399</v>
      </c>
      <c r="G344" s="2">
        <v>-3.3755808488784</v>
      </c>
      <c r="H344" s="2">
        <v>6.82112077050964</v>
      </c>
    </row>
    <row r="345" spans="1:8">
      <c r="A345" s="1" t="s">
        <v>137</v>
      </c>
      <c r="B345" s="2">
        <v>1.61</v>
      </c>
      <c r="C345" s="1" t="s">
        <v>110</v>
      </c>
      <c r="D345" s="2">
        <v>0.898085980559174</v>
      </c>
      <c r="E345" s="2">
        <v>1.79270140593618</v>
      </c>
      <c r="F345" s="1" t="s">
        <v>399</v>
      </c>
      <c r="G345" s="2">
        <v>-1.69456803813426</v>
      </c>
      <c r="H345" s="2">
        <v>3.02474082288056</v>
      </c>
    </row>
    <row r="346" spans="1:8">
      <c r="A346" s="1" t="s">
        <v>184</v>
      </c>
      <c r="B346" s="2">
        <v>0.001</v>
      </c>
      <c r="C346" s="1" t="s">
        <v>110</v>
      </c>
      <c r="D346" s="2">
        <v>0.865259126364145</v>
      </c>
      <c r="E346" s="2">
        <v>0.00115572314643134</v>
      </c>
      <c r="F346" s="1" t="s">
        <v>399</v>
      </c>
      <c r="G346" s="2">
        <v>-1.4516067198867</v>
      </c>
      <c r="H346" s="2">
        <v>2.47096403193202</v>
      </c>
    </row>
    <row r="347" spans="1:8">
      <c r="A347" s="1" t="s">
        <v>184</v>
      </c>
      <c r="B347" s="2">
        <v>0.005</v>
      </c>
      <c r="C347" s="1" t="s">
        <v>110</v>
      </c>
      <c r="D347" s="2">
        <v>0.865259126364145</v>
      </c>
      <c r="E347" s="2">
        <v>0.00577861573215669</v>
      </c>
      <c r="F347" s="1" t="s">
        <v>399</v>
      </c>
      <c r="G347" s="2">
        <v>-1.4516067198867</v>
      </c>
      <c r="H347" s="2">
        <v>2.47096403193202</v>
      </c>
    </row>
    <row r="348" spans="1:8">
      <c r="A348" s="1" t="s">
        <v>108</v>
      </c>
      <c r="B348" s="2">
        <v>0.001</v>
      </c>
      <c r="C348" s="1" t="s">
        <v>110</v>
      </c>
      <c r="D348" s="2">
        <v>0.898121804798333</v>
      </c>
      <c r="E348" s="2">
        <v>0.00111343471971994</v>
      </c>
      <c r="F348" s="1" t="s">
        <v>399</v>
      </c>
      <c r="G348" s="2">
        <v>-1.27893237109756</v>
      </c>
      <c r="H348" s="2">
        <v>2.27292642078765</v>
      </c>
    </row>
    <row r="349" spans="1:8">
      <c r="A349" s="1" t="s">
        <v>112</v>
      </c>
      <c r="B349" s="2">
        <v>3.82364415151515</v>
      </c>
      <c r="C349" s="1" t="s">
        <v>110</v>
      </c>
      <c r="D349" s="2">
        <v>0.995980980414355</v>
      </c>
      <c r="E349" s="2">
        <v>3.83907346295349</v>
      </c>
      <c r="F349" s="1" t="s">
        <v>399</v>
      </c>
      <c r="G349" s="2">
        <v>-3.3755808488784</v>
      </c>
      <c r="H349" s="2">
        <v>6.82112077050964</v>
      </c>
    </row>
    <row r="350" spans="1:8">
      <c r="A350" s="1" t="s">
        <v>112</v>
      </c>
      <c r="B350" s="2">
        <v>6.93759471467306</v>
      </c>
      <c r="C350" s="1" t="s">
        <v>110</v>
      </c>
      <c r="D350" s="2">
        <v>0.995980980414355</v>
      </c>
      <c r="E350" s="2">
        <v>6.96558955552227</v>
      </c>
      <c r="F350" s="1" t="s">
        <v>400</v>
      </c>
      <c r="G350" s="2">
        <v>-3.3755808488784</v>
      </c>
      <c r="H350" s="2">
        <v>6.82112077050964</v>
      </c>
    </row>
    <row r="351" spans="1:8">
      <c r="A351" s="1" t="s">
        <v>112</v>
      </c>
      <c r="B351" s="2">
        <v>3.80557834830518</v>
      </c>
      <c r="C351" s="1" t="s">
        <v>110</v>
      </c>
      <c r="D351" s="2">
        <v>0.995980980414355</v>
      </c>
      <c r="E351" s="2">
        <v>3.82093475994085</v>
      </c>
      <c r="F351" s="1" t="s">
        <v>399</v>
      </c>
      <c r="G351" s="2">
        <v>-3.3755808488784</v>
      </c>
      <c r="H351" s="2">
        <v>6.82112077050964</v>
      </c>
    </row>
    <row r="352" spans="1:8">
      <c r="A352" s="1" t="s">
        <v>112</v>
      </c>
      <c r="B352" s="2">
        <v>2.74438325018001</v>
      </c>
      <c r="C352" s="1" t="s">
        <v>110</v>
      </c>
      <c r="D352" s="2">
        <v>0.995980980414355</v>
      </c>
      <c r="E352" s="2">
        <v>2.75545748779085</v>
      </c>
      <c r="F352" s="1" t="s">
        <v>399</v>
      </c>
      <c r="G352" s="2">
        <v>-3.3755808488784</v>
      </c>
      <c r="H352" s="2">
        <v>6.82112077050964</v>
      </c>
    </row>
    <row r="353" spans="1:8">
      <c r="A353" s="1" t="s">
        <v>112</v>
      </c>
      <c r="B353" s="2">
        <v>2.76111451073355</v>
      </c>
      <c r="C353" s="1" t="s">
        <v>110</v>
      </c>
      <c r="D353" s="2">
        <v>0.995980980414355</v>
      </c>
      <c r="E353" s="2">
        <v>2.77225626295078</v>
      </c>
      <c r="F353" s="1" t="s">
        <v>399</v>
      </c>
      <c r="G353" s="2">
        <v>-3.3755808488784</v>
      </c>
      <c r="H353" s="2">
        <v>6.82112077050964</v>
      </c>
    </row>
    <row r="354" spans="1:8">
      <c r="A354" s="1" t="s">
        <v>112</v>
      </c>
      <c r="B354" s="2">
        <v>4.20448161574975</v>
      </c>
      <c r="C354" s="1" t="s">
        <v>110</v>
      </c>
      <c r="D354" s="2">
        <v>0.995980980414355</v>
      </c>
      <c r="E354" s="2">
        <v>4.22144769672265</v>
      </c>
      <c r="F354" s="1" t="s">
        <v>399</v>
      </c>
      <c r="G354" s="2">
        <v>-3.3755808488784</v>
      </c>
      <c r="H354" s="2">
        <v>6.82112077050964</v>
      </c>
    </row>
    <row r="355" spans="1:8">
      <c r="A355" s="1" t="s">
        <v>112</v>
      </c>
      <c r="B355" s="2">
        <v>2.28483188793345</v>
      </c>
      <c r="C355" s="1" t="s">
        <v>110</v>
      </c>
      <c r="D355" s="2">
        <v>0.995980980414355</v>
      </c>
      <c r="E355" s="2">
        <v>2.29405172675376</v>
      </c>
      <c r="F355" s="1" t="s">
        <v>399</v>
      </c>
      <c r="G355" s="2">
        <v>-3.3755808488784</v>
      </c>
      <c r="H355" s="2">
        <v>6.82112077050964</v>
      </c>
    </row>
    <row r="356" spans="1:8">
      <c r="A356" s="1" t="s">
        <v>112</v>
      </c>
      <c r="B356" s="2">
        <v>5.69257905437179</v>
      </c>
      <c r="C356" s="1" t="s">
        <v>110</v>
      </c>
      <c r="D356" s="2">
        <v>0.995980980414355</v>
      </c>
      <c r="E356" s="2">
        <v>5.71554996161023</v>
      </c>
      <c r="F356" s="1" t="s">
        <v>399</v>
      </c>
      <c r="G356" s="2">
        <v>-3.3755808488784</v>
      </c>
      <c r="H356" s="2">
        <v>6.82112077050964</v>
      </c>
    </row>
    <row r="357" spans="1:8">
      <c r="A357" s="1" t="s">
        <v>112</v>
      </c>
      <c r="B357" s="2">
        <v>3.61342375202922</v>
      </c>
      <c r="C357" s="1" t="s">
        <v>110</v>
      </c>
      <c r="D357" s="2">
        <v>0.995980980414355</v>
      </c>
      <c r="E357" s="2">
        <v>3.62800477427384</v>
      </c>
      <c r="F357" s="1" t="s">
        <v>399</v>
      </c>
      <c r="G357" s="2">
        <v>-3.3755808488784</v>
      </c>
      <c r="H357" s="2">
        <v>6.82112077050964</v>
      </c>
    </row>
    <row r="358" spans="1:8">
      <c r="A358" s="1" t="s">
        <v>112</v>
      </c>
      <c r="B358" s="2">
        <v>2.94124489634153</v>
      </c>
      <c r="C358" s="1" t="s">
        <v>110</v>
      </c>
      <c r="D358" s="2">
        <v>0.995980980414355</v>
      </c>
      <c r="E358" s="2">
        <v>2.95311351740662</v>
      </c>
      <c r="F358" s="1" t="s">
        <v>399</v>
      </c>
      <c r="G358" s="2">
        <v>-3.3755808488784</v>
      </c>
      <c r="H358" s="2">
        <v>6.82112077050964</v>
      </c>
    </row>
    <row r="359" spans="1:8">
      <c r="A359" s="1" t="s">
        <v>112</v>
      </c>
      <c r="B359" s="2">
        <v>4.4350828954438</v>
      </c>
      <c r="C359" s="1" t="s">
        <v>110</v>
      </c>
      <c r="D359" s="2">
        <v>0.995980980414355</v>
      </c>
      <c r="E359" s="2">
        <v>4.45297950729811</v>
      </c>
      <c r="F359" s="1" t="s">
        <v>399</v>
      </c>
      <c r="G359" s="2">
        <v>-3.3755808488784</v>
      </c>
      <c r="H359" s="2">
        <v>6.82112077050964</v>
      </c>
    </row>
    <row r="360" spans="1:8">
      <c r="A360" s="1" t="s">
        <v>112</v>
      </c>
      <c r="B360" s="2">
        <v>3.05764278997374</v>
      </c>
      <c r="C360" s="1" t="s">
        <v>110</v>
      </c>
      <c r="D360" s="2">
        <v>0.995980980414355</v>
      </c>
      <c r="E360" s="2">
        <v>3.06998110415891</v>
      </c>
      <c r="F360" s="1" t="s">
        <v>399</v>
      </c>
      <c r="G360" s="2">
        <v>-3.3755808488784</v>
      </c>
      <c r="H360" s="2">
        <v>6.82112077050964</v>
      </c>
    </row>
    <row r="361" spans="1:8">
      <c r="A361" s="1" t="s">
        <v>126</v>
      </c>
      <c r="B361" s="2">
        <v>1.95</v>
      </c>
      <c r="C361" s="1" t="s">
        <v>114</v>
      </c>
      <c r="D361" s="2">
        <v>0.911358608023812</v>
      </c>
      <c r="E361" s="2">
        <v>1.95</v>
      </c>
      <c r="F361" s="1" t="s">
        <v>399</v>
      </c>
      <c r="G361" s="2">
        <v>-2.41700054652004</v>
      </c>
      <c r="H361" s="2">
        <v>4.24620837687132</v>
      </c>
    </row>
    <row r="362" spans="1:8">
      <c r="A362" s="1" t="s">
        <v>112</v>
      </c>
      <c r="B362" s="2">
        <v>6.52</v>
      </c>
      <c r="C362" s="1" t="s">
        <v>114</v>
      </c>
      <c r="D362" s="2">
        <v>0.995980980414355</v>
      </c>
      <c r="E362" s="2">
        <v>6.52</v>
      </c>
      <c r="F362" s="1" t="s">
        <v>399</v>
      </c>
      <c r="G362" s="2">
        <v>-3.3755808488784</v>
      </c>
      <c r="H362" s="2">
        <v>6.82112077050964</v>
      </c>
    </row>
    <row r="363" spans="1:8">
      <c r="A363" s="1" t="s">
        <v>117</v>
      </c>
      <c r="B363" s="2">
        <v>1.6</v>
      </c>
      <c r="C363" s="1" t="s">
        <v>114</v>
      </c>
      <c r="D363" s="2">
        <v>0.992403236892688</v>
      </c>
      <c r="E363" s="2">
        <v>1.6</v>
      </c>
      <c r="F363" s="1" t="s">
        <v>399</v>
      </c>
      <c r="G363" s="2">
        <v>-1.14230280379727</v>
      </c>
      <c r="H363" s="2">
        <v>2.05579236761459</v>
      </c>
    </row>
    <row r="364" spans="1:8">
      <c r="A364" s="1" t="s">
        <v>117</v>
      </c>
      <c r="B364" s="2">
        <v>0.97</v>
      </c>
      <c r="C364" s="1" t="s">
        <v>114</v>
      </c>
      <c r="D364" s="2">
        <v>0.992403236892688</v>
      </c>
      <c r="E364" s="2">
        <v>0.97</v>
      </c>
      <c r="F364" s="1" t="s">
        <v>399</v>
      </c>
      <c r="G364" s="2">
        <v>-1.14230280379727</v>
      </c>
      <c r="H364" s="2">
        <v>2.05579236761459</v>
      </c>
    </row>
    <row r="365" spans="1:8">
      <c r="A365" s="1" t="s">
        <v>117</v>
      </c>
      <c r="B365" s="2">
        <v>0.21</v>
      </c>
      <c r="C365" s="1" t="s">
        <v>114</v>
      </c>
      <c r="D365" s="2">
        <v>0.992403236892688</v>
      </c>
      <c r="E365" s="2">
        <v>0.21</v>
      </c>
      <c r="F365" s="1" t="s">
        <v>399</v>
      </c>
      <c r="G365" s="2">
        <v>-1.14230280379727</v>
      </c>
      <c r="H365" s="2">
        <v>2.05579236761459</v>
      </c>
    </row>
    <row r="366" spans="1:8">
      <c r="A366" s="1" t="s">
        <v>117</v>
      </c>
      <c r="B366" s="2">
        <v>0.36</v>
      </c>
      <c r="C366" s="1" t="s">
        <v>114</v>
      </c>
      <c r="D366" s="2">
        <v>0.992403236892688</v>
      </c>
      <c r="E366" s="2">
        <v>0.36</v>
      </c>
      <c r="F366" s="1" t="s">
        <v>399</v>
      </c>
      <c r="G366" s="2">
        <v>-1.14230280379727</v>
      </c>
      <c r="H366" s="2">
        <v>2.05579236761459</v>
      </c>
    </row>
    <row r="367" spans="1:8">
      <c r="A367" s="1" t="s">
        <v>154</v>
      </c>
      <c r="B367" s="2">
        <v>0.25</v>
      </c>
      <c r="C367" s="1" t="s">
        <v>114</v>
      </c>
      <c r="D367" s="2">
        <v>0.945470448484017</v>
      </c>
      <c r="E367" s="2">
        <v>0.25</v>
      </c>
      <c r="F367" s="1" t="s">
        <v>399</v>
      </c>
      <c r="G367" s="2">
        <v>-0.371903263198752</v>
      </c>
      <c r="H367" s="2">
        <v>0.767296975436132</v>
      </c>
    </row>
    <row r="368" spans="1:8">
      <c r="A368" s="1" t="s">
        <v>117</v>
      </c>
      <c r="B368" s="2">
        <v>1.37</v>
      </c>
      <c r="C368" s="1" t="s">
        <v>114</v>
      </c>
      <c r="D368" s="2">
        <v>0.992403236892688</v>
      </c>
      <c r="E368" s="2">
        <v>1.37</v>
      </c>
      <c r="F368" s="1" t="s">
        <v>399</v>
      </c>
      <c r="G368" s="2">
        <v>-1.14230280379727</v>
      </c>
      <c r="H368" s="2">
        <v>2.05579236761459</v>
      </c>
    </row>
    <row r="369" spans="1:8">
      <c r="A369" s="1" t="s">
        <v>112</v>
      </c>
      <c r="B369" s="2">
        <v>2.69</v>
      </c>
      <c r="C369" s="1" t="s">
        <v>114</v>
      </c>
      <c r="D369" s="2">
        <v>0.995980980414355</v>
      </c>
      <c r="E369" s="2">
        <v>2.69</v>
      </c>
      <c r="F369" s="1" t="s">
        <v>399</v>
      </c>
      <c r="G369" s="2">
        <v>-3.3755808488784</v>
      </c>
      <c r="H369" s="2">
        <v>6.82112077050964</v>
      </c>
    </row>
    <row r="370" spans="1:8">
      <c r="A370" s="1" t="s">
        <v>137</v>
      </c>
      <c r="B370" s="2">
        <v>1.46554545454545</v>
      </c>
      <c r="C370" s="1" t="s">
        <v>110</v>
      </c>
      <c r="D370" s="2">
        <v>0.898085980559174</v>
      </c>
      <c r="E370" s="2">
        <v>1.63185428374348</v>
      </c>
      <c r="F370" s="1" t="s">
        <v>399</v>
      </c>
      <c r="G370" s="2">
        <v>-1.69456803813426</v>
      </c>
      <c r="H370" s="2">
        <v>3.02474082288056</v>
      </c>
    </row>
    <row r="371" spans="1:8">
      <c r="A371" s="1" t="s">
        <v>137</v>
      </c>
      <c r="B371" s="2">
        <v>0.737227272727273</v>
      </c>
      <c r="C371" s="1" t="s">
        <v>110</v>
      </c>
      <c r="D371" s="2">
        <v>0.898085980559174</v>
      </c>
      <c r="E371" s="2">
        <v>0.820887185287375</v>
      </c>
      <c r="F371" s="1" t="s">
        <v>399</v>
      </c>
      <c r="G371" s="2">
        <v>-1.69456803813426</v>
      </c>
      <c r="H371" s="2">
        <v>3.02474082288056</v>
      </c>
    </row>
    <row r="372" spans="1:8">
      <c r="A372" s="1" t="s">
        <v>137</v>
      </c>
      <c r="B372" s="2">
        <v>0.427636363636364</v>
      </c>
      <c r="C372" s="1" t="s">
        <v>110</v>
      </c>
      <c r="D372" s="2">
        <v>0.898085980559174</v>
      </c>
      <c r="E372" s="2">
        <v>0.476164167900834</v>
      </c>
      <c r="F372" s="1" t="s">
        <v>399</v>
      </c>
      <c r="G372" s="2">
        <v>-1.69456803813426</v>
      </c>
      <c r="H372" s="2">
        <v>3.02474082288056</v>
      </c>
    </row>
    <row r="373" spans="1:8">
      <c r="A373" s="1" t="s">
        <v>112</v>
      </c>
      <c r="B373" s="2">
        <v>0.775090909090909</v>
      </c>
      <c r="C373" s="1" t="s">
        <v>110</v>
      </c>
      <c r="D373" s="2">
        <v>0.995980980414355</v>
      </c>
      <c r="E373" s="2">
        <v>0.778218584825235</v>
      </c>
      <c r="F373" s="1" t="s">
        <v>399</v>
      </c>
      <c r="G373" s="2">
        <v>-3.3755808488784</v>
      </c>
      <c r="H373" s="2">
        <v>6.82112077050964</v>
      </c>
    </row>
    <row r="374" spans="1:8">
      <c r="A374" s="1" t="s">
        <v>112</v>
      </c>
      <c r="B374" s="2">
        <v>0.654818181818182</v>
      </c>
      <c r="C374" s="1" t="s">
        <v>110</v>
      </c>
      <c r="D374" s="2">
        <v>0.995980980414355</v>
      </c>
      <c r="E374" s="2">
        <v>0.65746052855925</v>
      </c>
      <c r="F374" s="1" t="s">
        <v>399</v>
      </c>
      <c r="G374" s="2">
        <v>-3.3755808488784</v>
      </c>
      <c r="H374" s="2">
        <v>6.82112077050964</v>
      </c>
    </row>
    <row r="375" spans="1:8">
      <c r="A375" s="1" t="s">
        <v>112</v>
      </c>
      <c r="B375" s="2">
        <v>0.334090909090909</v>
      </c>
      <c r="C375" s="1" t="s">
        <v>110</v>
      </c>
      <c r="D375" s="2">
        <v>0.995980980414355</v>
      </c>
      <c r="E375" s="2">
        <v>0.335439045183291</v>
      </c>
      <c r="F375" s="1" t="s">
        <v>399</v>
      </c>
      <c r="G375" s="2">
        <v>-3.3755808488784</v>
      </c>
      <c r="H375" s="2">
        <v>6.82112077050964</v>
      </c>
    </row>
    <row r="376" spans="1:8">
      <c r="A376" s="1" t="s">
        <v>136</v>
      </c>
      <c r="B376" s="2">
        <v>0.23427</v>
      </c>
      <c r="C376" s="1" t="s">
        <v>110</v>
      </c>
      <c r="D376" s="2">
        <v>0.919960813526214</v>
      </c>
      <c r="E376" s="2">
        <v>0.254652150999826</v>
      </c>
      <c r="F376" s="1" t="s">
        <v>399</v>
      </c>
      <c r="G376" s="2">
        <v>-1.36343949725763</v>
      </c>
      <c r="H376" s="2">
        <v>2.6985042681358</v>
      </c>
    </row>
    <row r="377" spans="1:8">
      <c r="A377" s="1" t="s">
        <v>184</v>
      </c>
      <c r="B377" s="2">
        <v>0.997714285714285</v>
      </c>
      <c r="C377" s="1" t="s">
        <v>110</v>
      </c>
      <c r="D377" s="2">
        <v>0.865259126364145</v>
      </c>
      <c r="E377" s="2">
        <v>1.15308149352521</v>
      </c>
      <c r="F377" s="1" t="s">
        <v>399</v>
      </c>
      <c r="G377" s="2">
        <v>-1.4516067198867</v>
      </c>
      <c r="H377" s="2">
        <v>2.47096403193202</v>
      </c>
    </row>
    <row r="378" spans="1:8">
      <c r="A378" s="1" t="s">
        <v>126</v>
      </c>
      <c r="B378" s="2">
        <v>0.00363671795767988</v>
      </c>
      <c r="C378" s="1" t="s">
        <v>110</v>
      </c>
      <c r="D378" s="2">
        <v>0.911358608023812</v>
      </c>
      <c r="E378" s="2">
        <v>0.00399043573590173</v>
      </c>
      <c r="F378" s="1" t="s">
        <v>399</v>
      </c>
      <c r="G378" s="2">
        <v>-2.41700054652004</v>
      </c>
      <c r="H378" s="2">
        <v>4.24620837687132</v>
      </c>
    </row>
    <row r="379" spans="1:8">
      <c r="A379" s="1" t="s">
        <v>126</v>
      </c>
      <c r="B379" s="2">
        <v>0.056</v>
      </c>
      <c r="C379" s="1" t="s">
        <v>110</v>
      </c>
      <c r="D379" s="2">
        <v>0.911358608023812</v>
      </c>
      <c r="E379" s="2">
        <v>0.061446723064843</v>
      </c>
      <c r="F379" s="1" t="s">
        <v>399</v>
      </c>
      <c r="G379" s="2">
        <v>-2.41700054652004</v>
      </c>
      <c r="H379" s="2">
        <v>4.24620837687132</v>
      </c>
    </row>
    <row r="380" spans="1:8">
      <c r="A380" s="1" t="s">
        <v>117</v>
      </c>
      <c r="B380" s="2">
        <v>0.0814545454545455</v>
      </c>
      <c r="C380" s="1" t="s">
        <v>110</v>
      </c>
      <c r="D380" s="2">
        <v>0.992403236892688</v>
      </c>
      <c r="E380" s="2">
        <v>0.0820780731324373</v>
      </c>
      <c r="F380" s="1" t="s">
        <v>399</v>
      </c>
      <c r="G380" s="2">
        <v>-1.14230280379727</v>
      </c>
      <c r="H380" s="2">
        <v>2.05579236761459</v>
      </c>
    </row>
    <row r="381" spans="1:8">
      <c r="A381" s="1" t="s">
        <v>117</v>
      </c>
      <c r="B381" s="2">
        <v>0.0254545454545455</v>
      </c>
      <c r="C381" s="1" t="s">
        <v>110</v>
      </c>
      <c r="D381" s="2">
        <v>0.992403236892688</v>
      </c>
      <c r="E381" s="2">
        <v>0.0256493978538867</v>
      </c>
      <c r="F381" s="1" t="s">
        <v>399</v>
      </c>
      <c r="G381" s="2">
        <v>-1.14230280379727</v>
      </c>
      <c r="H381" s="2">
        <v>2.05579236761459</v>
      </c>
    </row>
    <row r="382" spans="1:8">
      <c r="A382" s="1" t="s">
        <v>117</v>
      </c>
      <c r="B382" s="2">
        <v>0.0152727272727273</v>
      </c>
      <c r="C382" s="1" t="s">
        <v>110</v>
      </c>
      <c r="D382" s="2">
        <v>0.992403236892688</v>
      </c>
      <c r="E382" s="2">
        <v>0.015389638712332</v>
      </c>
      <c r="F382" s="1" t="s">
        <v>399</v>
      </c>
      <c r="G382" s="2">
        <v>-1.14230280379727</v>
      </c>
      <c r="H382" s="2">
        <v>2.05579236761459</v>
      </c>
    </row>
    <row r="383" spans="1:8">
      <c r="A383" s="1" t="s">
        <v>137</v>
      </c>
      <c r="B383" s="2">
        <v>0.0203636363636364</v>
      </c>
      <c r="C383" s="1" t="s">
        <v>110</v>
      </c>
      <c r="D383" s="2">
        <v>0.898085980559174</v>
      </c>
      <c r="E383" s="2">
        <v>0.022674484185754</v>
      </c>
      <c r="F383" s="1" t="s">
        <v>399</v>
      </c>
      <c r="G383" s="2">
        <v>-1.69456803813426</v>
      </c>
      <c r="H383" s="2">
        <v>3.02474082288056</v>
      </c>
    </row>
    <row r="384" spans="1:8">
      <c r="A384" s="1" t="s">
        <v>108</v>
      </c>
      <c r="B384" s="2">
        <v>0.259636363636364</v>
      </c>
      <c r="C384" s="1" t="s">
        <v>110</v>
      </c>
      <c r="D384" s="2">
        <v>0.898121804798333</v>
      </c>
      <c r="E384" s="2">
        <v>0.28908814177456</v>
      </c>
      <c r="F384" s="1" t="s">
        <v>399</v>
      </c>
      <c r="G384" s="2">
        <v>-1.27893237109756</v>
      </c>
      <c r="H384" s="2">
        <v>2.27292642078765</v>
      </c>
    </row>
    <row r="385" spans="1:8">
      <c r="A385" s="1" t="s">
        <v>108</v>
      </c>
      <c r="B385" s="2">
        <v>0.180727272727273</v>
      </c>
      <c r="C385" s="1" t="s">
        <v>110</v>
      </c>
      <c r="D385" s="2">
        <v>0.898121804798333</v>
      </c>
      <c r="E385" s="2">
        <v>0.201228020254841</v>
      </c>
      <c r="F385" s="1" t="s">
        <v>399</v>
      </c>
      <c r="G385" s="2">
        <v>-1.27893237109756</v>
      </c>
      <c r="H385" s="2">
        <v>2.27292642078765</v>
      </c>
    </row>
    <row r="386" spans="1:8">
      <c r="A386" s="1" t="s">
        <v>108</v>
      </c>
      <c r="B386" s="2">
        <v>0.0432727272727273</v>
      </c>
      <c r="C386" s="1" t="s">
        <v>110</v>
      </c>
      <c r="D386" s="2">
        <v>0.898121804798333</v>
      </c>
      <c r="E386" s="2">
        <v>0.0481813569624266</v>
      </c>
      <c r="F386" s="1" t="s">
        <v>399</v>
      </c>
      <c r="G386" s="2">
        <v>-1.27893237109756</v>
      </c>
      <c r="H386" s="2">
        <v>2.27292642078765</v>
      </c>
    </row>
    <row r="387" spans="1:8">
      <c r="A387" s="1" t="s">
        <v>108</v>
      </c>
      <c r="B387" s="2">
        <v>0.028</v>
      </c>
      <c r="C387" s="1" t="s">
        <v>110</v>
      </c>
      <c r="D387" s="2">
        <v>0.898121804798333</v>
      </c>
      <c r="E387" s="2">
        <v>0.0311761721521584</v>
      </c>
      <c r="F387" s="1" t="s">
        <v>399</v>
      </c>
      <c r="G387" s="2">
        <v>-1.27893237109756</v>
      </c>
      <c r="H387" s="2">
        <v>2.27292642078765</v>
      </c>
    </row>
    <row r="388" spans="1:8">
      <c r="A388" s="1" t="s">
        <v>108</v>
      </c>
      <c r="B388" s="2">
        <v>0.0127272727272727</v>
      </c>
      <c r="C388" s="1" t="s">
        <v>110</v>
      </c>
      <c r="D388" s="2">
        <v>0.898121804798333</v>
      </c>
      <c r="E388" s="2">
        <v>0.0141709873418901</v>
      </c>
      <c r="F388" s="1" t="s">
        <v>399</v>
      </c>
      <c r="G388" s="2">
        <v>-1.27893237109756</v>
      </c>
      <c r="H388" s="2">
        <v>2.27292642078765</v>
      </c>
    </row>
    <row r="389" spans="1:8">
      <c r="A389" s="1" t="s">
        <v>139</v>
      </c>
      <c r="B389" s="2">
        <v>0.0509090909090909</v>
      </c>
      <c r="C389" s="1" t="s">
        <v>110</v>
      </c>
      <c r="D389" s="2">
        <v>0.919960813526214</v>
      </c>
      <c r="E389" s="2">
        <v>0.0553383254597075</v>
      </c>
      <c r="F389" s="1" t="s">
        <v>399</v>
      </c>
      <c r="G389" s="2">
        <v>-2.67038668339085</v>
      </c>
      <c r="H389" s="2">
        <v>4.6462391012346</v>
      </c>
    </row>
    <row r="390" spans="1:8">
      <c r="A390" s="1" t="s">
        <v>139</v>
      </c>
      <c r="B390" s="2">
        <v>0.0356363636363636</v>
      </c>
      <c r="C390" s="1" t="s">
        <v>110</v>
      </c>
      <c r="D390" s="2">
        <v>0.919960813526214</v>
      </c>
      <c r="E390" s="2">
        <v>0.0387368278217952</v>
      </c>
      <c r="F390" s="1" t="s">
        <v>399</v>
      </c>
      <c r="G390" s="2">
        <v>-2.67038668339085</v>
      </c>
      <c r="H390" s="2">
        <v>4.6462391012346</v>
      </c>
    </row>
    <row r="391" spans="1:8">
      <c r="A391" s="1" t="s">
        <v>139</v>
      </c>
      <c r="B391" s="2">
        <v>0.0254545454545455</v>
      </c>
      <c r="C391" s="1" t="s">
        <v>110</v>
      </c>
      <c r="D391" s="2">
        <v>0.919960813526214</v>
      </c>
      <c r="E391" s="2">
        <v>0.0276691627298538</v>
      </c>
      <c r="F391" s="1" t="s">
        <v>399</v>
      </c>
      <c r="G391" s="2">
        <v>-2.67038668339085</v>
      </c>
      <c r="H391" s="2">
        <v>4.6462391012346</v>
      </c>
    </row>
    <row r="392" spans="1:8">
      <c r="A392" s="1" t="s">
        <v>139</v>
      </c>
      <c r="B392" s="2">
        <v>0.0152727272727273</v>
      </c>
      <c r="C392" s="1" t="s">
        <v>110</v>
      </c>
      <c r="D392" s="2">
        <v>0.919960813526214</v>
      </c>
      <c r="E392" s="2">
        <v>0.0166014976379123</v>
      </c>
      <c r="F392" s="1" t="s">
        <v>399</v>
      </c>
      <c r="G392" s="2">
        <v>-2.67038668339085</v>
      </c>
      <c r="H392" s="2">
        <v>4.6462391012346</v>
      </c>
    </row>
    <row r="393" spans="1:8">
      <c r="A393" s="1" t="s">
        <v>139</v>
      </c>
      <c r="B393" s="2">
        <v>0.0152727272727273</v>
      </c>
      <c r="C393" s="1" t="s">
        <v>110</v>
      </c>
      <c r="D393" s="2">
        <v>0.919960813526214</v>
      </c>
      <c r="E393" s="2">
        <v>0.0166014976379123</v>
      </c>
      <c r="F393" s="1" t="s">
        <v>399</v>
      </c>
      <c r="G393" s="2">
        <v>-2.67038668339085</v>
      </c>
      <c r="H393" s="2">
        <v>4.6462391012346</v>
      </c>
    </row>
    <row r="394" spans="1:8">
      <c r="A394" s="1" t="s">
        <v>139</v>
      </c>
      <c r="B394" s="2">
        <v>0.0101818181818182</v>
      </c>
      <c r="C394" s="1" t="s">
        <v>110</v>
      </c>
      <c r="D394" s="2">
        <v>0.919960813526214</v>
      </c>
      <c r="E394" s="2">
        <v>0.0110676650919415</v>
      </c>
      <c r="F394" s="1" t="s">
        <v>399</v>
      </c>
      <c r="G394" s="2">
        <v>-2.67038668339085</v>
      </c>
      <c r="H394" s="2">
        <v>4.6462391012346</v>
      </c>
    </row>
    <row r="395" spans="1:8">
      <c r="A395" s="1" t="s">
        <v>263</v>
      </c>
      <c r="B395" s="2">
        <v>0.116447773781471</v>
      </c>
      <c r="C395" s="1" t="s">
        <v>114</v>
      </c>
      <c r="D395" s="2">
        <v>0.919960813526214</v>
      </c>
      <c r="E395" s="2">
        <v>0.116447773781471</v>
      </c>
      <c r="F395" s="1" t="s">
        <v>399</v>
      </c>
      <c r="G395" s="2">
        <v>-0.0501657318184515</v>
      </c>
      <c r="H395" s="2">
        <v>0.216415877141424</v>
      </c>
    </row>
    <row r="396" spans="1:8">
      <c r="A396" s="1" t="s">
        <v>263</v>
      </c>
      <c r="B396" s="2">
        <v>0.106590995907231</v>
      </c>
      <c r="C396" s="1" t="s">
        <v>114</v>
      </c>
      <c r="D396" s="2">
        <v>0.919960813526214</v>
      </c>
      <c r="E396" s="2">
        <v>0.106590995907231</v>
      </c>
      <c r="F396" s="1" t="s">
        <v>399</v>
      </c>
      <c r="G396" s="2">
        <v>-0.0501657318184515</v>
      </c>
      <c r="H396" s="2">
        <v>0.216415877141424</v>
      </c>
    </row>
    <row r="397" spans="1:8">
      <c r="A397" s="1" t="s">
        <v>126</v>
      </c>
      <c r="B397" s="2">
        <v>0.0228760330578512</v>
      </c>
      <c r="C397" s="1" t="s">
        <v>110</v>
      </c>
      <c r="D397" s="2">
        <v>0.911358608023812</v>
      </c>
      <c r="E397" s="2">
        <v>0.0251010226451424</v>
      </c>
      <c r="F397" s="1" t="s">
        <v>399</v>
      </c>
      <c r="G397" s="2">
        <v>-2.41700054652004</v>
      </c>
      <c r="H397" s="2">
        <v>4.24620837687132</v>
      </c>
    </row>
    <row r="398" spans="1:8">
      <c r="A398" s="1" t="s">
        <v>126</v>
      </c>
      <c r="B398" s="2">
        <v>0.0311409395973154</v>
      </c>
      <c r="C398" s="1" t="s">
        <v>110</v>
      </c>
      <c r="D398" s="2">
        <v>0.911358608023812</v>
      </c>
      <c r="E398" s="2">
        <v>0.0341697980609865</v>
      </c>
      <c r="F398" s="1" t="s">
        <v>399</v>
      </c>
      <c r="G398" s="2">
        <v>-2.41700054652004</v>
      </c>
      <c r="H398" s="2">
        <v>4.24620837687132</v>
      </c>
    </row>
    <row r="399" spans="1:8">
      <c r="A399" s="1" t="s">
        <v>126</v>
      </c>
      <c r="B399" s="2">
        <v>0.109117647058824</v>
      </c>
      <c r="C399" s="1" t="s">
        <v>110</v>
      </c>
      <c r="D399" s="2">
        <v>0.911358608023812</v>
      </c>
      <c r="E399" s="2">
        <v>0.119730747148408</v>
      </c>
      <c r="F399" s="1" t="s">
        <v>399</v>
      </c>
      <c r="G399" s="2">
        <v>-2.41700054652004</v>
      </c>
      <c r="H399" s="2">
        <v>4.24620837687132</v>
      </c>
    </row>
    <row r="400" spans="1:8">
      <c r="A400" s="1" t="s">
        <v>184</v>
      </c>
      <c r="B400" s="2">
        <v>0.008</v>
      </c>
      <c r="C400" s="1" t="s">
        <v>110</v>
      </c>
      <c r="D400" s="2">
        <v>0.865259126364145</v>
      </c>
      <c r="E400" s="2">
        <v>0.0092457851714507</v>
      </c>
      <c r="F400" s="1" t="s">
        <v>399</v>
      </c>
      <c r="G400" s="2">
        <v>-1.4516067198867</v>
      </c>
      <c r="H400" s="2">
        <v>2.47096403193202</v>
      </c>
    </row>
    <row r="401" spans="1:8">
      <c r="A401" s="1" t="s">
        <v>108</v>
      </c>
      <c r="B401" s="2">
        <v>0.001</v>
      </c>
      <c r="C401" s="1" t="s">
        <v>110</v>
      </c>
      <c r="D401" s="2">
        <v>0.898121804798333</v>
      </c>
      <c r="E401" s="2">
        <v>0.00111343471971994</v>
      </c>
      <c r="F401" s="1" t="s">
        <v>399</v>
      </c>
      <c r="G401" s="2">
        <v>-1.27893237109756</v>
      </c>
      <c r="H401" s="2">
        <v>2.27292642078765</v>
      </c>
    </row>
    <row r="402" spans="1:8">
      <c r="A402" s="1" t="s">
        <v>117</v>
      </c>
      <c r="B402" s="2">
        <v>0.99</v>
      </c>
      <c r="C402" s="1" t="s">
        <v>110</v>
      </c>
      <c r="D402" s="2">
        <v>0.992403236892688</v>
      </c>
      <c r="E402" s="2">
        <v>0.99757836653152</v>
      </c>
      <c r="F402" s="1" t="s">
        <v>399</v>
      </c>
      <c r="G402" s="2">
        <v>-1.14230280379727</v>
      </c>
      <c r="H402" s="2">
        <v>2.05579236761459</v>
      </c>
    </row>
    <row r="403" spans="1:8">
      <c r="A403" s="1" t="s">
        <v>117</v>
      </c>
      <c r="B403" s="2">
        <v>0.05</v>
      </c>
      <c r="C403" s="1" t="s">
        <v>110</v>
      </c>
      <c r="D403" s="2">
        <v>0.992403236892688</v>
      </c>
      <c r="E403" s="2">
        <v>0.0503827457844202</v>
      </c>
      <c r="F403" s="1" t="s">
        <v>399</v>
      </c>
      <c r="G403" s="2">
        <v>-1.14230280379727</v>
      </c>
      <c r="H403" s="2">
        <v>2.05579236761459</v>
      </c>
    </row>
    <row r="404" spans="1:8">
      <c r="A404" s="1" t="s">
        <v>117</v>
      </c>
      <c r="B404" s="2">
        <v>1.52</v>
      </c>
      <c r="C404" s="1" t="s">
        <v>110</v>
      </c>
      <c r="D404" s="2">
        <v>0.992403236892688</v>
      </c>
      <c r="E404" s="2">
        <v>1.53163547184637</v>
      </c>
      <c r="F404" s="1" t="s">
        <v>399</v>
      </c>
      <c r="G404" s="2">
        <v>-1.14230280379727</v>
      </c>
      <c r="H404" s="2">
        <v>2.05579236761459</v>
      </c>
    </row>
    <row r="405" spans="1:8">
      <c r="A405" s="1" t="s">
        <v>117</v>
      </c>
      <c r="B405" s="2">
        <v>1.23</v>
      </c>
      <c r="C405" s="1" t="s">
        <v>110</v>
      </c>
      <c r="D405" s="2">
        <v>0.992403236892688</v>
      </c>
      <c r="E405" s="2">
        <v>1.23941554629674</v>
      </c>
      <c r="F405" s="1" t="s">
        <v>399</v>
      </c>
      <c r="G405" s="2">
        <v>-1.14230280379727</v>
      </c>
      <c r="H405" s="2">
        <v>2.05579236761459</v>
      </c>
    </row>
    <row r="406" spans="1:8">
      <c r="A406" s="1" t="s">
        <v>117</v>
      </c>
      <c r="B406" s="2">
        <v>1.03</v>
      </c>
      <c r="C406" s="1" t="s">
        <v>110</v>
      </c>
      <c r="D406" s="2">
        <v>0.992403236892688</v>
      </c>
      <c r="E406" s="2">
        <v>1.03788456315906</v>
      </c>
      <c r="F406" s="1" t="s">
        <v>399</v>
      </c>
      <c r="G406" s="2">
        <v>-1.14230280379727</v>
      </c>
      <c r="H406" s="2">
        <v>2.05579236761459</v>
      </c>
    </row>
    <row r="407" spans="1:8">
      <c r="A407" s="1" t="s">
        <v>117</v>
      </c>
      <c r="B407" s="2">
        <v>0.88</v>
      </c>
      <c r="C407" s="1" t="s">
        <v>110</v>
      </c>
      <c r="D407" s="2">
        <v>0.992403236892688</v>
      </c>
      <c r="E407" s="2">
        <v>0.886736325805795</v>
      </c>
      <c r="F407" s="1" t="s">
        <v>399</v>
      </c>
      <c r="G407" s="2">
        <v>-1.14230280379727</v>
      </c>
      <c r="H407" s="2">
        <v>2.05579236761459</v>
      </c>
    </row>
    <row r="408" spans="1:8">
      <c r="A408" s="1" t="s">
        <v>117</v>
      </c>
      <c r="B408" s="2">
        <v>0.85</v>
      </c>
      <c r="C408" s="1" t="s">
        <v>110</v>
      </c>
      <c r="D408" s="2">
        <v>0.992403236892688</v>
      </c>
      <c r="E408" s="2">
        <v>0.856506678335143</v>
      </c>
      <c r="F408" s="1" t="s">
        <v>399</v>
      </c>
      <c r="G408" s="2">
        <v>-1.14230280379727</v>
      </c>
      <c r="H408" s="2">
        <v>2.05579236761459</v>
      </c>
    </row>
    <row r="409" spans="1:8">
      <c r="A409" s="1" t="s">
        <v>126</v>
      </c>
      <c r="B409" s="2">
        <v>1.32</v>
      </c>
      <c r="C409" s="1" t="s">
        <v>110</v>
      </c>
      <c r="D409" s="2">
        <v>0.911358608023812</v>
      </c>
      <c r="E409" s="2">
        <v>1.4483870436713</v>
      </c>
      <c r="F409" s="1" t="s">
        <v>399</v>
      </c>
      <c r="G409" s="2">
        <v>-2.41700054652004</v>
      </c>
      <c r="H409" s="2">
        <v>4.24620837687132</v>
      </c>
    </row>
    <row r="410" spans="1:8">
      <c r="A410" s="1" t="s">
        <v>126</v>
      </c>
      <c r="B410" s="2">
        <v>0.8</v>
      </c>
      <c r="C410" s="1" t="s">
        <v>110</v>
      </c>
      <c r="D410" s="2">
        <v>0.911358608023812</v>
      </c>
      <c r="E410" s="2">
        <v>0.877810329497758</v>
      </c>
      <c r="F410" s="1" t="s">
        <v>399</v>
      </c>
      <c r="G410" s="2">
        <v>-2.41700054652004</v>
      </c>
      <c r="H410" s="2">
        <v>4.24620837687132</v>
      </c>
    </row>
    <row r="411" spans="1:8">
      <c r="A411" s="1" t="s">
        <v>126</v>
      </c>
      <c r="B411" s="2">
        <v>0.005</v>
      </c>
      <c r="C411" s="1" t="s">
        <v>110</v>
      </c>
      <c r="D411" s="2">
        <v>0.911358608023812</v>
      </c>
      <c r="E411" s="2">
        <v>0.00548631455936099</v>
      </c>
      <c r="F411" s="1" t="s">
        <v>399</v>
      </c>
      <c r="G411" s="2">
        <v>-2.41700054652004</v>
      </c>
      <c r="H411" s="2">
        <v>4.24620837687132</v>
      </c>
    </row>
    <row r="412" spans="1:8">
      <c r="A412" s="1" t="s">
        <v>126</v>
      </c>
      <c r="B412" s="2">
        <v>0.005</v>
      </c>
      <c r="C412" s="1" t="s">
        <v>110</v>
      </c>
      <c r="D412" s="2">
        <v>0.911358608023812</v>
      </c>
      <c r="E412" s="2">
        <v>0.00548631455936099</v>
      </c>
      <c r="F412" s="1" t="s">
        <v>399</v>
      </c>
      <c r="G412" s="2">
        <v>-2.41700054652004</v>
      </c>
      <c r="H412" s="2">
        <v>4.24620837687132</v>
      </c>
    </row>
    <row r="413" spans="1:8">
      <c r="A413" s="1" t="s">
        <v>126</v>
      </c>
      <c r="B413" s="2">
        <v>0.012</v>
      </c>
      <c r="C413" s="1" t="s">
        <v>110</v>
      </c>
      <c r="D413" s="2">
        <v>0.911358608023812</v>
      </c>
      <c r="E413" s="2">
        <v>0.0131671549424664</v>
      </c>
      <c r="F413" s="1" t="s">
        <v>399</v>
      </c>
      <c r="G413" s="2">
        <v>-2.41700054652004</v>
      </c>
      <c r="H413" s="2">
        <v>4.24620837687132</v>
      </c>
    </row>
    <row r="414" spans="1:8">
      <c r="A414" s="1" t="s">
        <v>126</v>
      </c>
      <c r="B414" s="2">
        <v>0.012</v>
      </c>
      <c r="C414" s="1" t="s">
        <v>110</v>
      </c>
      <c r="D414" s="2">
        <v>0.911358608023812</v>
      </c>
      <c r="E414" s="2">
        <v>0.0131671549424664</v>
      </c>
      <c r="F414" s="1" t="s">
        <v>399</v>
      </c>
      <c r="G414" s="2">
        <v>-2.41700054652004</v>
      </c>
      <c r="H414" s="2">
        <v>4.24620837687132</v>
      </c>
    </row>
    <row r="415" spans="1:8">
      <c r="A415" s="1" t="s">
        <v>126</v>
      </c>
      <c r="B415" s="2">
        <v>0.19</v>
      </c>
      <c r="C415" s="1" t="s">
        <v>110</v>
      </c>
      <c r="D415" s="2">
        <v>0.911358608023812</v>
      </c>
      <c r="E415" s="2">
        <v>0.208479953255717</v>
      </c>
      <c r="F415" s="1" t="s">
        <v>399</v>
      </c>
      <c r="G415" s="2">
        <v>-2.41700054652004</v>
      </c>
      <c r="H415" s="2">
        <v>4.24620837687132</v>
      </c>
    </row>
    <row r="416" spans="1:8">
      <c r="A416" s="1" t="s">
        <v>126</v>
      </c>
      <c r="B416" s="2">
        <v>0.006</v>
      </c>
      <c r="C416" s="1" t="s">
        <v>110</v>
      </c>
      <c r="D416" s="2">
        <v>0.911358608023812</v>
      </c>
      <c r="E416" s="2">
        <v>0.00658357747123318</v>
      </c>
      <c r="F416" s="1" t="s">
        <v>399</v>
      </c>
      <c r="G416" s="2">
        <v>-2.41700054652004</v>
      </c>
      <c r="H416" s="2">
        <v>4.24620837687132</v>
      </c>
    </row>
    <row r="417" spans="1:8">
      <c r="A417" s="1" t="s">
        <v>112</v>
      </c>
      <c r="B417" s="2">
        <v>0.35</v>
      </c>
      <c r="C417" s="1" t="s">
        <v>110</v>
      </c>
      <c r="D417" s="2">
        <v>0.995980980414355</v>
      </c>
      <c r="E417" s="2">
        <v>0.351412333049162</v>
      </c>
      <c r="F417" s="1" t="s">
        <v>399</v>
      </c>
      <c r="G417" s="2">
        <v>-3.3755808488784</v>
      </c>
      <c r="H417" s="2">
        <v>6.82112077050964</v>
      </c>
    </row>
    <row r="418" spans="1:8">
      <c r="A418" s="1" t="s">
        <v>112</v>
      </c>
      <c r="B418" s="2">
        <v>0.35</v>
      </c>
      <c r="C418" s="1" t="s">
        <v>110</v>
      </c>
      <c r="D418" s="2">
        <v>0.995980980414355</v>
      </c>
      <c r="E418" s="2">
        <v>0.351412333049162</v>
      </c>
      <c r="F418" s="1" t="s">
        <v>399</v>
      </c>
      <c r="G418" s="2">
        <v>-3.3755808488784</v>
      </c>
      <c r="H418" s="2">
        <v>6.82112077050964</v>
      </c>
    </row>
    <row r="419" spans="1:8">
      <c r="A419" s="1" t="s">
        <v>112</v>
      </c>
      <c r="B419" s="2">
        <v>0.24</v>
      </c>
      <c r="C419" s="1" t="s">
        <v>110</v>
      </c>
      <c r="D419" s="2">
        <v>0.995980980414355</v>
      </c>
      <c r="E419" s="2">
        <v>0.240968456947997</v>
      </c>
      <c r="F419" s="1" t="s">
        <v>399</v>
      </c>
      <c r="G419" s="2">
        <v>-3.3755808488784</v>
      </c>
      <c r="H419" s="2">
        <v>6.82112077050964</v>
      </c>
    </row>
    <row r="420" spans="1:8">
      <c r="A420" s="1" t="s">
        <v>112</v>
      </c>
      <c r="B420" s="2">
        <v>0.13</v>
      </c>
      <c r="C420" s="1" t="s">
        <v>110</v>
      </c>
      <c r="D420" s="2">
        <v>0.995980980414355</v>
      </c>
      <c r="E420" s="2">
        <v>0.130524580846831</v>
      </c>
      <c r="F420" s="1" t="s">
        <v>399</v>
      </c>
      <c r="G420" s="2">
        <v>-3.3755808488784</v>
      </c>
      <c r="H420" s="2">
        <v>6.82112077050964</v>
      </c>
    </row>
    <row r="421" spans="1:8">
      <c r="A421" s="1" t="s">
        <v>112</v>
      </c>
      <c r="B421" s="2">
        <v>0.07</v>
      </c>
      <c r="C421" s="1" t="s">
        <v>110</v>
      </c>
      <c r="D421" s="2">
        <v>0.995980980414355</v>
      </c>
      <c r="E421" s="2">
        <v>0.0702824666098324</v>
      </c>
      <c r="F421" s="1" t="s">
        <v>399</v>
      </c>
      <c r="G421" s="2">
        <v>-3.3755808488784</v>
      </c>
      <c r="H421" s="2">
        <v>6.82112077050964</v>
      </c>
    </row>
    <row r="422" spans="1:8">
      <c r="A422" s="1" t="s">
        <v>112</v>
      </c>
      <c r="B422" s="2">
        <v>6.8</v>
      </c>
      <c r="C422" s="1" t="s">
        <v>110</v>
      </c>
      <c r="D422" s="2">
        <v>0.995980980414355</v>
      </c>
      <c r="E422" s="2">
        <v>6.82743961352657</v>
      </c>
      <c r="F422" s="1" t="s">
        <v>400</v>
      </c>
      <c r="G422" s="2">
        <v>-3.3755808488784</v>
      </c>
      <c r="H422" s="2">
        <v>6.82112077050964</v>
      </c>
    </row>
    <row r="423" spans="1:8">
      <c r="A423" s="1" t="s">
        <v>112</v>
      </c>
      <c r="B423" s="2">
        <v>5</v>
      </c>
      <c r="C423" s="1" t="s">
        <v>110</v>
      </c>
      <c r="D423" s="2">
        <v>0.995980980414355</v>
      </c>
      <c r="E423" s="2">
        <v>5.0201761864166</v>
      </c>
      <c r="F423" s="1" t="s">
        <v>399</v>
      </c>
      <c r="G423" s="2">
        <v>-3.3755808488784</v>
      </c>
      <c r="H423" s="2">
        <v>6.82112077050964</v>
      </c>
    </row>
    <row r="424" spans="1:8">
      <c r="A424" s="1" t="s">
        <v>112</v>
      </c>
      <c r="B424" s="2">
        <v>4.3</v>
      </c>
      <c r="C424" s="1" t="s">
        <v>110</v>
      </c>
      <c r="D424" s="2">
        <v>0.995980980414355</v>
      </c>
      <c r="E424" s="2">
        <v>4.31735152031827</v>
      </c>
      <c r="F424" s="1" t="s">
        <v>399</v>
      </c>
      <c r="G424" s="2">
        <v>-3.3755808488784</v>
      </c>
      <c r="H424" s="2">
        <v>6.82112077050964</v>
      </c>
    </row>
    <row r="425" spans="1:8">
      <c r="A425" s="1" t="s">
        <v>112</v>
      </c>
      <c r="B425" s="2">
        <v>3.7</v>
      </c>
      <c r="C425" s="1" t="s">
        <v>110</v>
      </c>
      <c r="D425" s="2">
        <v>0.995980980414355</v>
      </c>
      <c r="E425" s="2">
        <v>3.71493037794828</v>
      </c>
      <c r="F425" s="1" t="s">
        <v>399</v>
      </c>
      <c r="G425" s="2">
        <v>-3.3755808488784</v>
      </c>
      <c r="H425" s="2">
        <v>6.82112077050964</v>
      </c>
    </row>
    <row r="426" spans="1:8">
      <c r="A426" s="1" t="s">
        <v>112</v>
      </c>
      <c r="B426" s="2">
        <v>3</v>
      </c>
      <c r="C426" s="1" t="s">
        <v>110</v>
      </c>
      <c r="D426" s="2">
        <v>0.995980980414355</v>
      </c>
      <c r="E426" s="2">
        <v>3.01210571184996</v>
      </c>
      <c r="F426" s="1" t="s">
        <v>399</v>
      </c>
      <c r="G426" s="2">
        <v>-3.3755808488784</v>
      </c>
      <c r="H426" s="2">
        <v>6.82112077050964</v>
      </c>
    </row>
    <row r="427" spans="1:8">
      <c r="A427" s="1" t="s">
        <v>112</v>
      </c>
      <c r="B427" s="2">
        <v>2.3</v>
      </c>
      <c r="C427" s="1" t="s">
        <v>110</v>
      </c>
      <c r="D427" s="2">
        <v>0.995980980414355</v>
      </c>
      <c r="E427" s="2">
        <v>2.30928104575163</v>
      </c>
      <c r="F427" s="1" t="s">
        <v>399</v>
      </c>
      <c r="G427" s="2">
        <v>-3.3755808488784</v>
      </c>
      <c r="H427" s="2">
        <v>6.82112077050964</v>
      </c>
    </row>
    <row r="428" spans="1:8">
      <c r="A428" s="1" t="s">
        <v>137</v>
      </c>
      <c r="B428" s="2">
        <v>0.59184766</v>
      </c>
      <c r="C428" s="1" t="s">
        <v>110</v>
      </c>
      <c r="D428" s="2">
        <v>0.898085980559174</v>
      </c>
      <c r="E428" s="2">
        <v>0.659010019988842</v>
      </c>
      <c r="F428" s="1" t="s">
        <v>399</v>
      </c>
      <c r="G428" s="2">
        <v>-1.69456803813426</v>
      </c>
      <c r="H428" s="2">
        <v>3.02474082288056</v>
      </c>
    </row>
    <row r="429" spans="1:8">
      <c r="A429" s="1" t="s">
        <v>137</v>
      </c>
      <c r="B429" s="2">
        <v>0.43858612</v>
      </c>
      <c r="C429" s="1" t="s">
        <v>110</v>
      </c>
      <c r="D429" s="2">
        <v>0.898085980559174</v>
      </c>
      <c r="E429" s="2">
        <v>0.488356493135461</v>
      </c>
      <c r="F429" s="1" t="s">
        <v>399</v>
      </c>
      <c r="G429" s="2">
        <v>-1.69456803813426</v>
      </c>
      <c r="H429" s="2">
        <v>3.02474082288056</v>
      </c>
    </row>
    <row r="430" spans="1:8">
      <c r="A430" s="1" t="s">
        <v>137</v>
      </c>
      <c r="B430" s="2">
        <v>0.4157618</v>
      </c>
      <c r="C430" s="1" t="s">
        <v>110</v>
      </c>
      <c r="D430" s="2">
        <v>0.898085980559174</v>
      </c>
      <c r="E430" s="2">
        <v>0.462942089064941</v>
      </c>
      <c r="F430" s="1" t="s">
        <v>399</v>
      </c>
      <c r="G430" s="2">
        <v>-1.69456803813426</v>
      </c>
      <c r="H430" s="2">
        <v>3.02474082288056</v>
      </c>
    </row>
    <row r="431" spans="1:8">
      <c r="A431" s="1" t="s">
        <v>137</v>
      </c>
      <c r="B431" s="2">
        <v>0.26250026</v>
      </c>
      <c r="C431" s="1" t="s">
        <v>110</v>
      </c>
      <c r="D431" s="2">
        <v>0.898085980559174</v>
      </c>
      <c r="E431" s="2">
        <v>0.29228856221156</v>
      </c>
      <c r="F431" s="1" t="s">
        <v>399</v>
      </c>
      <c r="G431" s="2">
        <v>-1.69456803813426</v>
      </c>
      <c r="H431" s="2">
        <v>3.02474082288056</v>
      </c>
    </row>
    <row r="432" spans="1:8">
      <c r="A432" s="1" t="s">
        <v>137</v>
      </c>
      <c r="B432" s="2">
        <v>0.24665973</v>
      </c>
      <c r="C432" s="1" t="s">
        <v>110</v>
      </c>
      <c r="D432" s="2">
        <v>0.898085980559174</v>
      </c>
      <c r="E432" s="2">
        <v>0.274650462583129</v>
      </c>
      <c r="F432" s="1" t="s">
        <v>399</v>
      </c>
      <c r="G432" s="2">
        <v>-1.69456803813426</v>
      </c>
      <c r="H432" s="2">
        <v>3.02474082288056</v>
      </c>
    </row>
    <row r="433" spans="1:8">
      <c r="A433" s="1" t="s">
        <v>137</v>
      </c>
      <c r="B433" s="2">
        <v>0.21731575</v>
      </c>
      <c r="C433" s="1" t="s">
        <v>110</v>
      </c>
      <c r="D433" s="2">
        <v>0.898085980559174</v>
      </c>
      <c r="E433" s="2">
        <v>0.24197655314104</v>
      </c>
      <c r="F433" s="1" t="s">
        <v>399</v>
      </c>
      <c r="G433" s="2">
        <v>-1.69456803813426</v>
      </c>
      <c r="H433" s="2">
        <v>3.02474082288056</v>
      </c>
    </row>
    <row r="434" spans="1:8">
      <c r="A434" s="1" t="s">
        <v>137</v>
      </c>
      <c r="B434" s="2">
        <v>0.16421096</v>
      </c>
      <c r="C434" s="1" t="s">
        <v>110</v>
      </c>
      <c r="D434" s="2">
        <v>0.898085980559174</v>
      </c>
      <c r="E434" s="2">
        <v>0.182845477554117</v>
      </c>
      <c r="F434" s="1" t="s">
        <v>399</v>
      </c>
      <c r="G434" s="2">
        <v>-1.69456803813426</v>
      </c>
      <c r="H434" s="2">
        <v>3.02474082288056</v>
      </c>
    </row>
    <row r="435" spans="1:8">
      <c r="A435" s="1" t="s">
        <v>137</v>
      </c>
      <c r="B435" s="2">
        <v>0.14883454</v>
      </c>
      <c r="C435" s="1" t="s">
        <v>110</v>
      </c>
      <c r="D435" s="2">
        <v>0.898085980559174</v>
      </c>
      <c r="E435" s="2">
        <v>0.165724154726624</v>
      </c>
      <c r="F435" s="1" t="s">
        <v>399</v>
      </c>
      <c r="G435" s="2">
        <v>-1.69456803813426</v>
      </c>
      <c r="H435" s="2">
        <v>3.02474082288056</v>
      </c>
    </row>
    <row r="436" spans="1:8">
      <c r="A436" s="1" t="s">
        <v>108</v>
      </c>
      <c r="B436" s="2">
        <v>0.048</v>
      </c>
      <c r="C436" s="1" t="s">
        <v>110</v>
      </c>
      <c r="D436" s="2">
        <v>0.898121804798333</v>
      </c>
      <c r="E436" s="2">
        <v>0.0534448665465572</v>
      </c>
      <c r="F436" s="1" t="s">
        <v>399</v>
      </c>
      <c r="G436" s="2">
        <v>-1.27893237109756</v>
      </c>
      <c r="H436" s="2">
        <v>2.27292642078765</v>
      </c>
    </row>
    <row r="437" spans="1:8">
      <c r="A437" s="1" t="s">
        <v>137</v>
      </c>
      <c r="B437" s="2">
        <v>0.42</v>
      </c>
      <c r="C437" s="1" t="s">
        <v>110</v>
      </c>
      <c r="D437" s="2">
        <v>0.898085980559174</v>
      </c>
      <c r="E437" s="2">
        <v>0.467661236331176</v>
      </c>
      <c r="F437" s="1" t="s">
        <v>399</v>
      </c>
      <c r="G437" s="2">
        <v>-1.69456803813426</v>
      </c>
      <c r="H437" s="2">
        <v>3.02474082288056</v>
      </c>
    </row>
    <row r="438" spans="1:8">
      <c r="A438" s="1" t="s">
        <v>137</v>
      </c>
      <c r="B438" s="2">
        <v>6.1</v>
      </c>
      <c r="C438" s="1" t="s">
        <v>110</v>
      </c>
      <c r="D438" s="2">
        <v>0.898085980559174</v>
      </c>
      <c r="E438" s="2">
        <v>6.79222271814327</v>
      </c>
      <c r="F438" s="1" t="s">
        <v>400</v>
      </c>
      <c r="G438" s="2">
        <v>-1.69456803813426</v>
      </c>
      <c r="H438" s="2">
        <v>3.02474082288056</v>
      </c>
    </row>
    <row r="439" spans="1:8">
      <c r="A439" s="1" t="s">
        <v>137</v>
      </c>
      <c r="B439" s="2">
        <v>0.04</v>
      </c>
      <c r="C439" s="1" t="s">
        <v>110</v>
      </c>
      <c r="D439" s="2">
        <v>0.898085980559174</v>
      </c>
      <c r="E439" s="2">
        <v>0.0445391653648739</v>
      </c>
      <c r="F439" s="1" t="s">
        <v>399</v>
      </c>
      <c r="G439" s="2">
        <v>-1.69456803813426</v>
      </c>
      <c r="H439" s="2">
        <v>3.02474082288056</v>
      </c>
    </row>
    <row r="440" spans="1:8">
      <c r="A440" s="1" t="s">
        <v>137</v>
      </c>
      <c r="B440" s="2">
        <v>17.9</v>
      </c>
      <c r="C440" s="1" t="s">
        <v>114</v>
      </c>
      <c r="D440" s="2">
        <v>0.898085980559174</v>
      </c>
      <c r="E440" s="2">
        <v>17.9</v>
      </c>
      <c r="F440" s="1" t="s">
        <v>400</v>
      </c>
      <c r="G440" s="2">
        <v>-1.69456803813426</v>
      </c>
      <c r="H440" s="2">
        <v>3.02474082288056</v>
      </c>
    </row>
    <row r="441" spans="1:8">
      <c r="A441" s="1" t="s">
        <v>137</v>
      </c>
      <c r="B441" s="2">
        <v>0.02</v>
      </c>
      <c r="C441" s="1" t="s">
        <v>114</v>
      </c>
      <c r="D441" s="2">
        <v>0.898085980559174</v>
      </c>
      <c r="E441" s="2">
        <v>0.02</v>
      </c>
      <c r="F441" s="1" t="s">
        <v>399</v>
      </c>
      <c r="G441" s="2">
        <v>-1.69456803813426</v>
      </c>
      <c r="H441" s="2">
        <v>3.02474082288056</v>
      </c>
    </row>
    <row r="442" spans="1:8">
      <c r="A442" s="1" t="s">
        <v>137</v>
      </c>
      <c r="B442" s="2">
        <v>0.39</v>
      </c>
      <c r="C442" s="1" t="s">
        <v>114</v>
      </c>
      <c r="D442" s="2">
        <v>0.898085980559174</v>
      </c>
      <c r="E442" s="2">
        <v>0.39</v>
      </c>
      <c r="F442" s="1" t="s">
        <v>399</v>
      </c>
      <c r="G442" s="2">
        <v>-1.69456803813426</v>
      </c>
      <c r="H442" s="2">
        <v>3.02474082288056</v>
      </c>
    </row>
    <row r="443" spans="1:8">
      <c r="A443" s="1" t="s">
        <v>137</v>
      </c>
      <c r="B443" s="2">
        <v>0.38</v>
      </c>
      <c r="C443" s="1" t="s">
        <v>114</v>
      </c>
      <c r="D443" s="2">
        <v>0.898085980559174</v>
      </c>
      <c r="E443" s="2">
        <v>0.38</v>
      </c>
      <c r="F443" s="1" t="s">
        <v>399</v>
      </c>
      <c r="G443" s="2">
        <v>-1.69456803813426</v>
      </c>
      <c r="H443" s="2">
        <v>3.02474082288056</v>
      </c>
    </row>
    <row r="444" spans="1:8">
      <c r="A444" s="1" t="s">
        <v>137</v>
      </c>
      <c r="B444" s="2">
        <v>1.12</v>
      </c>
      <c r="C444" s="1" t="s">
        <v>114</v>
      </c>
      <c r="D444" s="2">
        <v>0.898085980559174</v>
      </c>
      <c r="E444" s="2">
        <v>1.12</v>
      </c>
      <c r="F444" s="1" t="s">
        <v>399</v>
      </c>
      <c r="G444" s="2">
        <v>-1.69456803813426</v>
      </c>
      <c r="H444" s="2">
        <v>3.02474082288056</v>
      </c>
    </row>
    <row r="445" spans="1:8">
      <c r="A445" s="1" t="s">
        <v>137</v>
      </c>
      <c r="B445" s="2">
        <v>0.06</v>
      </c>
      <c r="C445" s="1" t="s">
        <v>114</v>
      </c>
      <c r="D445" s="2">
        <v>0.898085980559174</v>
      </c>
      <c r="E445" s="2">
        <v>0.06</v>
      </c>
      <c r="F445" s="1" t="s">
        <v>399</v>
      </c>
      <c r="G445" s="2">
        <v>-1.69456803813426</v>
      </c>
      <c r="H445" s="2">
        <v>3.02474082288056</v>
      </c>
    </row>
    <row r="446" spans="1:8">
      <c r="A446" s="1" t="s">
        <v>137</v>
      </c>
      <c r="B446" s="2">
        <v>1.24</v>
      </c>
      <c r="C446" s="1" t="s">
        <v>114</v>
      </c>
      <c r="D446" s="2">
        <v>0.898085980559174</v>
      </c>
      <c r="E446" s="2">
        <v>1.24</v>
      </c>
      <c r="F446" s="1" t="s">
        <v>399</v>
      </c>
      <c r="G446" s="2">
        <v>-1.69456803813426</v>
      </c>
      <c r="H446" s="2">
        <v>3.02474082288056</v>
      </c>
    </row>
    <row r="447" spans="1:8">
      <c r="A447" s="1" t="s">
        <v>137</v>
      </c>
      <c r="B447" s="2">
        <v>0.29</v>
      </c>
      <c r="C447" s="1" t="s">
        <v>114</v>
      </c>
      <c r="D447" s="2">
        <v>0.898085980559174</v>
      </c>
      <c r="E447" s="2">
        <v>0.29</v>
      </c>
      <c r="F447" s="1" t="s">
        <v>399</v>
      </c>
      <c r="G447" s="2">
        <v>-1.69456803813426</v>
      </c>
      <c r="H447" s="2">
        <v>3.02474082288056</v>
      </c>
    </row>
    <row r="448" spans="1:8">
      <c r="A448" s="1" t="s">
        <v>137</v>
      </c>
      <c r="B448" s="2">
        <v>0.24</v>
      </c>
      <c r="C448" s="1" t="s">
        <v>114</v>
      </c>
      <c r="D448" s="2">
        <v>0.898085980559174</v>
      </c>
      <c r="E448" s="2">
        <v>0.24</v>
      </c>
      <c r="F448" s="1" t="s">
        <v>399</v>
      </c>
      <c r="G448" s="2">
        <v>-1.69456803813426</v>
      </c>
      <c r="H448" s="2">
        <v>3.02474082288056</v>
      </c>
    </row>
    <row r="449" spans="1:8">
      <c r="A449" s="1" t="s">
        <v>137</v>
      </c>
      <c r="B449" s="2">
        <v>1.6</v>
      </c>
      <c r="C449" s="1" t="s">
        <v>114</v>
      </c>
      <c r="D449" s="2">
        <v>0.898085980559174</v>
      </c>
      <c r="E449" s="2">
        <v>1.6</v>
      </c>
      <c r="F449" s="1" t="s">
        <v>399</v>
      </c>
      <c r="G449" s="2">
        <v>-1.69456803813426</v>
      </c>
      <c r="H449" s="2">
        <v>3.02474082288056</v>
      </c>
    </row>
    <row r="450" spans="1:8">
      <c r="A450" s="1" t="s">
        <v>126</v>
      </c>
      <c r="B450" s="2">
        <v>0.00226391096979332</v>
      </c>
      <c r="C450" s="1" t="s">
        <v>110</v>
      </c>
      <c r="D450" s="2">
        <v>0.911358608023812</v>
      </c>
      <c r="E450" s="2">
        <v>0.00248410554293483</v>
      </c>
      <c r="F450" s="1" t="s">
        <v>399</v>
      </c>
      <c r="G450" s="2">
        <v>-2.41700054652004</v>
      </c>
      <c r="H450" s="2">
        <v>4.24620837687132</v>
      </c>
    </row>
    <row r="451" spans="1:8">
      <c r="A451" s="1" t="s">
        <v>126</v>
      </c>
      <c r="B451" s="2">
        <v>0.00445151033386328</v>
      </c>
      <c r="C451" s="1" t="s">
        <v>110</v>
      </c>
      <c r="D451" s="2">
        <v>0.911358608023812</v>
      </c>
      <c r="E451" s="2">
        <v>0.004884477191164</v>
      </c>
      <c r="F451" s="1" t="s">
        <v>399</v>
      </c>
      <c r="G451" s="2">
        <v>-2.41700054652004</v>
      </c>
      <c r="H451" s="2">
        <v>4.24620837687132</v>
      </c>
    </row>
    <row r="452" spans="1:8">
      <c r="A452" s="1" t="s">
        <v>108</v>
      </c>
      <c r="B452" s="2">
        <v>0.00551724137931035</v>
      </c>
      <c r="C452" s="1" t="s">
        <v>110</v>
      </c>
      <c r="D452" s="2">
        <v>0.898121804798333</v>
      </c>
      <c r="E452" s="2">
        <v>0.00614308810879968</v>
      </c>
      <c r="F452" s="1" t="s">
        <v>399</v>
      </c>
      <c r="G452" s="2">
        <v>-1.27893237109756</v>
      </c>
      <c r="H452" s="2">
        <v>2.27292642078765</v>
      </c>
    </row>
    <row r="453" spans="1:8">
      <c r="A453" s="1" t="s">
        <v>108</v>
      </c>
      <c r="B453" s="2">
        <v>0.257471264367816</v>
      </c>
      <c r="C453" s="1" t="s">
        <v>110</v>
      </c>
      <c r="D453" s="2">
        <v>0.898121804798333</v>
      </c>
      <c r="E453" s="2">
        <v>0.286677445077318</v>
      </c>
      <c r="F453" s="1" t="s">
        <v>399</v>
      </c>
      <c r="G453" s="2">
        <v>-1.27893237109756</v>
      </c>
      <c r="H453" s="2">
        <v>2.27292642078765</v>
      </c>
    </row>
    <row r="454" spans="1:8">
      <c r="A454" s="1" t="s">
        <v>184</v>
      </c>
      <c r="B454" s="2">
        <v>0.00318976545842218</v>
      </c>
      <c r="C454" s="1" t="s">
        <v>110</v>
      </c>
      <c r="D454" s="2">
        <v>0.865259126364145</v>
      </c>
      <c r="E454" s="2">
        <v>0.00368648577198568</v>
      </c>
      <c r="F454" s="1" t="s">
        <v>399</v>
      </c>
      <c r="G454" s="2">
        <v>-1.4516067198867</v>
      </c>
      <c r="H454" s="2">
        <v>2.47096403193202</v>
      </c>
    </row>
    <row r="455" spans="1:8">
      <c r="A455" s="1" t="s">
        <v>184</v>
      </c>
      <c r="B455" s="2">
        <v>0.000799573560767591</v>
      </c>
      <c r="C455" s="1" t="s">
        <v>110</v>
      </c>
      <c r="D455" s="2">
        <v>0.865259126364145</v>
      </c>
      <c r="E455" s="2">
        <v>0.000924085671453629</v>
      </c>
      <c r="F455" s="1" t="s">
        <v>399</v>
      </c>
      <c r="G455" s="2">
        <v>-1.4516067198867</v>
      </c>
      <c r="H455" s="2">
        <v>2.47096403193202</v>
      </c>
    </row>
    <row r="456" spans="1:8">
      <c r="A456" s="1" t="s">
        <v>136</v>
      </c>
      <c r="B456" s="2">
        <v>0.233941573033708</v>
      </c>
      <c r="C456" s="1" t="s">
        <v>110</v>
      </c>
      <c r="D456" s="2">
        <v>0.919960813526214</v>
      </c>
      <c r="E456" s="2">
        <v>0.2542951499608</v>
      </c>
      <c r="F456" s="1" t="s">
        <v>399</v>
      </c>
      <c r="G456" s="2">
        <v>-1.36343949725763</v>
      </c>
      <c r="H456" s="2">
        <v>2.6985042681358</v>
      </c>
    </row>
    <row r="457" spans="1:8">
      <c r="A457" s="1" t="s">
        <v>136</v>
      </c>
      <c r="B457" s="2">
        <v>0.523330337078652</v>
      </c>
      <c r="C457" s="1" t="s">
        <v>110</v>
      </c>
      <c r="D457" s="2">
        <v>0.919960813526214</v>
      </c>
      <c r="E457" s="2">
        <v>0.568861552996724</v>
      </c>
      <c r="F457" s="1" t="s">
        <v>399</v>
      </c>
      <c r="G457" s="2">
        <v>-1.36343949725763</v>
      </c>
      <c r="H457" s="2">
        <v>2.6985042681358</v>
      </c>
    </row>
    <row r="458" spans="1:8">
      <c r="A458" s="1" t="s">
        <v>154</v>
      </c>
      <c r="B458" s="2">
        <v>0.316735822959889</v>
      </c>
      <c r="C458" s="1" t="s">
        <v>110</v>
      </c>
      <c r="D458" s="2">
        <v>0.945470448484017</v>
      </c>
      <c r="E458" s="2">
        <v>0.335003408586433</v>
      </c>
      <c r="F458" s="1" t="s">
        <v>399</v>
      </c>
      <c r="G458" s="2">
        <v>-0.371903263198752</v>
      </c>
      <c r="H458" s="2">
        <v>0.767296975436132</v>
      </c>
    </row>
    <row r="459" spans="1:8">
      <c r="A459" s="1" t="s">
        <v>154</v>
      </c>
      <c r="B459" s="2">
        <v>0.203526970954357</v>
      </c>
      <c r="C459" s="1" t="s">
        <v>110</v>
      </c>
      <c r="D459" s="2">
        <v>0.945470448484017</v>
      </c>
      <c r="E459" s="2">
        <v>0.215265290713946</v>
      </c>
      <c r="F459" s="1" t="s">
        <v>399</v>
      </c>
      <c r="G459" s="2">
        <v>-0.371903263198752</v>
      </c>
      <c r="H459" s="2">
        <v>0.767296975436132</v>
      </c>
    </row>
    <row r="460" spans="1:8">
      <c r="A460" s="1" t="s">
        <v>184</v>
      </c>
      <c r="B460" s="2">
        <v>0.000338753387533875</v>
      </c>
      <c r="C460" s="1" t="s">
        <v>110</v>
      </c>
      <c r="D460" s="2">
        <v>0.865259126364145</v>
      </c>
      <c r="E460" s="2">
        <v>0.000391505130904924</v>
      </c>
      <c r="F460" s="1" t="s">
        <v>399</v>
      </c>
      <c r="G460" s="2">
        <v>-1.4516067198867</v>
      </c>
      <c r="H460" s="2">
        <v>2.47096403193202</v>
      </c>
    </row>
    <row r="461" spans="1:8">
      <c r="A461" s="1" t="s">
        <v>184</v>
      </c>
      <c r="B461" s="2">
        <v>3.38753387533875e-5</v>
      </c>
      <c r="C461" s="1" t="s">
        <v>110</v>
      </c>
      <c r="D461" s="2">
        <v>0.865259126364145</v>
      </c>
      <c r="E461" s="2">
        <v>3.91505130904924e-5</v>
      </c>
      <c r="F461" s="1" t="s">
        <v>399</v>
      </c>
      <c r="G461" s="2">
        <v>-1.4516067198867</v>
      </c>
      <c r="H461" s="2">
        <v>2.47096403193202</v>
      </c>
    </row>
    <row r="462" spans="1:8">
      <c r="A462" s="1" t="s">
        <v>184</v>
      </c>
      <c r="B462" s="2">
        <v>0.0399604352126607</v>
      </c>
      <c r="C462" s="1" t="s">
        <v>110</v>
      </c>
      <c r="D462" s="2">
        <v>0.865259126364145</v>
      </c>
      <c r="E462" s="2">
        <v>0.0461831999167418</v>
      </c>
      <c r="F462" s="1" t="s">
        <v>399</v>
      </c>
      <c r="G462" s="2">
        <v>-1.4516067198867</v>
      </c>
      <c r="H462" s="2">
        <v>2.47096403193202</v>
      </c>
    </row>
    <row r="463" spans="1:8">
      <c r="A463" s="1" t="s">
        <v>126</v>
      </c>
      <c r="B463" s="2">
        <v>0.06</v>
      </c>
      <c r="C463" s="1" t="s">
        <v>114</v>
      </c>
      <c r="D463" s="2">
        <v>0.911358608023812</v>
      </c>
      <c r="E463" s="2">
        <v>0.06</v>
      </c>
      <c r="F463" s="1" t="s">
        <v>399</v>
      </c>
      <c r="G463" s="2">
        <v>-2.41700054652004</v>
      </c>
      <c r="H463" s="2">
        <v>4.24620837687132</v>
      </c>
    </row>
    <row r="464" spans="1:8">
      <c r="A464" s="1" t="s">
        <v>126</v>
      </c>
      <c r="B464" s="2">
        <v>0.078</v>
      </c>
      <c r="C464" s="1" t="s">
        <v>110</v>
      </c>
      <c r="D464" s="2">
        <v>0.911358608023812</v>
      </c>
      <c r="E464" s="2">
        <v>0.0855865071260314</v>
      </c>
      <c r="F464" s="1" t="s">
        <v>399</v>
      </c>
      <c r="G464" s="2">
        <v>-2.41700054652004</v>
      </c>
      <c r="H464" s="2">
        <v>4.24620837687132</v>
      </c>
    </row>
    <row r="465" spans="1:8">
      <c r="A465" s="1" t="s">
        <v>126</v>
      </c>
      <c r="B465" s="2">
        <v>3.4322033</v>
      </c>
      <c r="C465" s="1" t="s">
        <v>110</v>
      </c>
      <c r="D465" s="2">
        <v>0.911358608023812</v>
      </c>
      <c r="E465" s="2">
        <v>3.76602938709536</v>
      </c>
      <c r="F465" s="1" t="s">
        <v>399</v>
      </c>
      <c r="G465" s="2">
        <v>-2.41700054652004</v>
      </c>
      <c r="H465" s="2">
        <v>4.24620837687132</v>
      </c>
    </row>
    <row r="466" spans="1:8">
      <c r="A466" s="1" t="s">
        <v>126</v>
      </c>
      <c r="B466" s="2">
        <v>3.3757062</v>
      </c>
      <c r="C466" s="1" t="s">
        <v>110</v>
      </c>
      <c r="D466" s="2">
        <v>0.911358608023812</v>
      </c>
      <c r="E466" s="2">
        <v>3.70403721463703</v>
      </c>
      <c r="F466" s="1" t="s">
        <v>399</v>
      </c>
      <c r="G466" s="2">
        <v>-2.41700054652004</v>
      </c>
      <c r="H466" s="2">
        <v>4.24620837687132</v>
      </c>
    </row>
    <row r="467" spans="1:8">
      <c r="A467" s="1" t="s">
        <v>126</v>
      </c>
      <c r="B467" s="2">
        <v>2.0762713</v>
      </c>
      <c r="C467" s="1" t="s">
        <v>110</v>
      </c>
      <c r="D467" s="2">
        <v>0.911358608023812</v>
      </c>
      <c r="E467" s="2">
        <v>2.27821549247467</v>
      </c>
      <c r="F467" s="1" t="s">
        <v>399</v>
      </c>
      <c r="G467" s="2">
        <v>-2.41700054652004</v>
      </c>
      <c r="H467" s="2">
        <v>4.24620837687132</v>
      </c>
    </row>
    <row r="468" spans="1:8">
      <c r="A468" s="1" t="s">
        <v>126</v>
      </c>
      <c r="B468" s="2">
        <v>1.4265537</v>
      </c>
      <c r="C468" s="1" t="s">
        <v>110</v>
      </c>
      <c r="D468" s="2">
        <v>0.911358608023812</v>
      </c>
      <c r="E468" s="2">
        <v>1.56530446680406</v>
      </c>
      <c r="F468" s="1" t="s">
        <v>399</v>
      </c>
      <c r="G468" s="2">
        <v>-2.41700054652004</v>
      </c>
      <c r="H468" s="2">
        <v>4.24620837687132</v>
      </c>
    </row>
    <row r="469" spans="1:8">
      <c r="A469" s="1" t="s">
        <v>126</v>
      </c>
      <c r="B469" s="2">
        <v>1.2570622</v>
      </c>
      <c r="C469" s="1" t="s">
        <v>110</v>
      </c>
      <c r="D469" s="2">
        <v>0.911358608023812</v>
      </c>
      <c r="E469" s="2">
        <v>1.37932772997647</v>
      </c>
      <c r="F469" s="1" t="s">
        <v>399</v>
      </c>
      <c r="G469" s="2">
        <v>-2.41700054652004</v>
      </c>
      <c r="H469" s="2">
        <v>4.24620837687132</v>
      </c>
    </row>
    <row r="470" spans="1:8">
      <c r="A470" s="1" t="s">
        <v>126</v>
      </c>
      <c r="B470" s="2">
        <v>1.1864407</v>
      </c>
      <c r="C470" s="1" t="s">
        <v>110</v>
      </c>
      <c r="D470" s="2">
        <v>0.911358608023812</v>
      </c>
      <c r="E470" s="2">
        <v>1.30183737724569</v>
      </c>
      <c r="F470" s="1" t="s">
        <v>399</v>
      </c>
      <c r="G470" s="2">
        <v>-2.41700054652004</v>
      </c>
      <c r="H470" s="2">
        <v>4.24620837687132</v>
      </c>
    </row>
    <row r="471" spans="1:8">
      <c r="A471" s="1" t="s">
        <v>126</v>
      </c>
      <c r="B471" s="2">
        <v>1.0169492</v>
      </c>
      <c r="C471" s="1" t="s">
        <v>110</v>
      </c>
      <c r="D471" s="2">
        <v>0.911358608023812</v>
      </c>
      <c r="E471" s="2">
        <v>1.1158606404181</v>
      </c>
      <c r="F471" s="1" t="s">
        <v>399</v>
      </c>
      <c r="G471" s="2">
        <v>-2.41700054652004</v>
      </c>
      <c r="H471" s="2">
        <v>4.24620837687132</v>
      </c>
    </row>
    <row r="472" spans="1:8">
      <c r="A472" s="1" t="s">
        <v>126</v>
      </c>
      <c r="B472" s="2">
        <v>0.8898305</v>
      </c>
      <c r="C472" s="1" t="s">
        <v>110</v>
      </c>
      <c r="D472" s="2">
        <v>0.911358608023812</v>
      </c>
      <c r="E472" s="2">
        <v>0.976378005502693</v>
      </c>
      <c r="F472" s="1" t="s">
        <v>399</v>
      </c>
      <c r="G472" s="2">
        <v>-2.41700054652004</v>
      </c>
      <c r="H472" s="2">
        <v>4.24620837687132</v>
      </c>
    </row>
    <row r="473" spans="1:8">
      <c r="A473" s="1" t="s">
        <v>126</v>
      </c>
      <c r="B473" s="2">
        <v>0.720339</v>
      </c>
      <c r="C473" s="1" t="s">
        <v>110</v>
      </c>
      <c r="D473" s="2">
        <v>0.911358608023812</v>
      </c>
      <c r="E473" s="2">
        <v>0.790401268675106</v>
      </c>
      <c r="F473" s="1" t="s">
        <v>399</v>
      </c>
      <c r="G473" s="2">
        <v>-2.41700054652004</v>
      </c>
      <c r="H473" s="2">
        <v>4.24620837687132</v>
      </c>
    </row>
    <row r="474" spans="1:8">
      <c r="A474" s="1" t="s">
        <v>126</v>
      </c>
      <c r="B474" s="2">
        <v>0.5508475</v>
      </c>
      <c r="C474" s="1" t="s">
        <v>110</v>
      </c>
      <c r="D474" s="2">
        <v>0.911358608023812</v>
      </c>
      <c r="E474" s="2">
        <v>0.60442453184752</v>
      </c>
      <c r="F474" s="1" t="s">
        <v>399</v>
      </c>
      <c r="G474" s="2">
        <v>-2.41700054652004</v>
      </c>
      <c r="H474" s="2">
        <v>4.24620837687132</v>
      </c>
    </row>
    <row r="475" spans="1:8">
      <c r="A475" s="1" t="s">
        <v>126</v>
      </c>
      <c r="B475" s="2">
        <v>0.40960452</v>
      </c>
      <c r="C475" s="1" t="s">
        <v>110</v>
      </c>
      <c r="D475" s="2">
        <v>0.911358608023812</v>
      </c>
      <c r="E475" s="2">
        <v>0.449443848331213</v>
      </c>
      <c r="F475" s="1" t="s">
        <v>399</v>
      </c>
      <c r="G475" s="2">
        <v>-2.41700054652004</v>
      </c>
      <c r="H475" s="2">
        <v>4.24620837687132</v>
      </c>
    </row>
    <row r="476" spans="1:8">
      <c r="A476" s="1" t="s">
        <v>126</v>
      </c>
      <c r="B476" s="2">
        <v>0.31073445</v>
      </c>
      <c r="C476" s="1" t="s">
        <v>110</v>
      </c>
      <c r="D476" s="2">
        <v>0.911358608023812</v>
      </c>
      <c r="E476" s="2">
        <v>0.340957387426006</v>
      </c>
      <c r="F476" s="1" t="s">
        <v>399</v>
      </c>
      <c r="G476" s="2">
        <v>-2.41700054652004</v>
      </c>
      <c r="H476" s="2">
        <v>4.24620837687132</v>
      </c>
    </row>
    <row r="477" spans="1:8">
      <c r="A477" s="1" t="s">
        <v>126</v>
      </c>
      <c r="B477" s="2">
        <v>0.11299435</v>
      </c>
      <c r="C477" s="1" t="s">
        <v>110</v>
      </c>
      <c r="D477" s="2">
        <v>0.911358608023812</v>
      </c>
      <c r="E477" s="2">
        <v>0.123984509506106</v>
      </c>
      <c r="F477" s="1" t="s">
        <v>399</v>
      </c>
      <c r="G477" s="2">
        <v>-2.41700054652004</v>
      </c>
      <c r="H477" s="2">
        <v>4.24620837687132</v>
      </c>
    </row>
    <row r="478" spans="1:8">
      <c r="A478" s="1" t="s">
        <v>136</v>
      </c>
      <c r="B478" s="2">
        <v>0.16113275</v>
      </c>
      <c r="C478" s="1" t="s">
        <v>110</v>
      </c>
      <c r="D478" s="2">
        <v>0.919960813526214</v>
      </c>
      <c r="E478" s="2">
        <v>0.175151753890883</v>
      </c>
      <c r="F478" s="1" t="s">
        <v>399</v>
      </c>
      <c r="G478" s="2">
        <v>-1.36343949725763</v>
      </c>
      <c r="H478" s="2">
        <v>2.6985042681358</v>
      </c>
    </row>
    <row r="479" spans="1:8">
      <c r="A479" s="1" t="s">
        <v>136</v>
      </c>
      <c r="B479" s="2">
        <v>0.051877573</v>
      </c>
      <c r="C479" s="1" t="s">
        <v>110</v>
      </c>
      <c r="D479" s="2">
        <v>0.919960813526214</v>
      </c>
      <c r="E479" s="2">
        <v>0.0563910682251269</v>
      </c>
      <c r="F479" s="1" t="s">
        <v>399</v>
      </c>
      <c r="G479" s="2">
        <v>-1.36343949725763</v>
      </c>
      <c r="H479" s="2">
        <v>2.6985042681358</v>
      </c>
    </row>
    <row r="480" spans="1:8">
      <c r="A480" s="1" t="s">
        <v>136</v>
      </c>
      <c r="B480" s="2">
        <v>0.412845135</v>
      </c>
      <c r="C480" s="1" t="s">
        <v>110</v>
      </c>
      <c r="D480" s="2">
        <v>0.919960813526214</v>
      </c>
      <c r="E480" s="2">
        <v>0.448763826599921</v>
      </c>
      <c r="F480" s="1" t="s">
        <v>399</v>
      </c>
      <c r="G480" s="2">
        <v>-1.36343949725763</v>
      </c>
      <c r="H480" s="2">
        <v>2.6985042681358</v>
      </c>
    </row>
    <row r="481" spans="1:8">
      <c r="A481" s="1" t="s">
        <v>136</v>
      </c>
      <c r="B481" s="2">
        <v>0.0147778855</v>
      </c>
      <c r="C481" s="1" t="s">
        <v>110</v>
      </c>
      <c r="D481" s="2">
        <v>0.919960813526214</v>
      </c>
      <c r="E481" s="2">
        <v>0.0160636032347468</v>
      </c>
      <c r="F481" s="1" t="s">
        <v>399</v>
      </c>
      <c r="G481" s="2">
        <v>-1.36343949725763</v>
      </c>
      <c r="H481" s="2">
        <v>2.6985042681358</v>
      </c>
    </row>
    <row r="482" spans="1:8">
      <c r="A482" s="1" t="s">
        <v>136</v>
      </c>
      <c r="B482" s="2">
        <v>0.12841615</v>
      </c>
      <c r="C482" s="1" t="s">
        <v>110</v>
      </c>
      <c r="D482" s="2">
        <v>0.919960813526214</v>
      </c>
      <c r="E482" s="2">
        <v>0.139588717380016</v>
      </c>
      <c r="F482" s="1" t="s">
        <v>399</v>
      </c>
      <c r="G482" s="2">
        <v>-1.36343949725763</v>
      </c>
      <c r="H482" s="2">
        <v>2.6985042681358</v>
      </c>
    </row>
    <row r="483" spans="1:8">
      <c r="A483" s="1" t="s">
        <v>136</v>
      </c>
      <c r="B483" s="2">
        <v>0.024082048</v>
      </c>
      <c r="C483" s="1" t="s">
        <v>110</v>
      </c>
      <c r="D483" s="2">
        <v>0.919960813526214</v>
      </c>
      <c r="E483" s="2">
        <v>0.0261772541242201</v>
      </c>
      <c r="F483" s="1" t="s">
        <v>399</v>
      </c>
      <c r="G483" s="2">
        <v>-1.36343949725763</v>
      </c>
      <c r="H483" s="2">
        <v>2.6985042681358</v>
      </c>
    </row>
    <row r="484" spans="1:8">
      <c r="A484" s="1" t="s">
        <v>136</v>
      </c>
      <c r="B484" s="2">
        <v>0.008052691</v>
      </c>
      <c r="C484" s="1" t="s">
        <v>110</v>
      </c>
      <c r="D484" s="2">
        <v>0.919960813526214</v>
      </c>
      <c r="E484" s="2">
        <v>0.00875329783790898</v>
      </c>
      <c r="F484" s="1" t="s">
        <v>399</v>
      </c>
      <c r="G484" s="2">
        <v>-1.36343949725763</v>
      </c>
      <c r="H484" s="2">
        <v>2.6985042681358</v>
      </c>
    </row>
    <row r="485" spans="1:8">
      <c r="A485" s="1" t="s">
        <v>136</v>
      </c>
      <c r="B485" s="2">
        <v>0.6313204</v>
      </c>
      <c r="C485" s="1" t="s">
        <v>110</v>
      </c>
      <c r="D485" s="2">
        <v>0.919960813526214</v>
      </c>
      <c r="E485" s="2">
        <v>0.686247056089428</v>
      </c>
      <c r="F485" s="1" t="s">
        <v>399</v>
      </c>
      <c r="G485" s="2">
        <v>-1.36343949725763</v>
      </c>
      <c r="H485" s="2">
        <v>2.6985042681358</v>
      </c>
    </row>
    <row r="486" spans="1:8">
      <c r="A486" s="1" t="s">
        <v>136</v>
      </c>
      <c r="B486" s="2">
        <v>0.0115439445</v>
      </c>
      <c r="C486" s="1" t="s">
        <v>110</v>
      </c>
      <c r="D486" s="2">
        <v>0.919960813526214</v>
      </c>
      <c r="E486" s="2">
        <v>0.0125483002430854</v>
      </c>
      <c r="F486" s="1" t="s">
        <v>399</v>
      </c>
      <c r="G486" s="2">
        <v>-1.36343949725763</v>
      </c>
      <c r="H486" s="2">
        <v>2.6985042681358</v>
      </c>
    </row>
    <row r="487" spans="1:8">
      <c r="A487" s="1" t="s">
        <v>136</v>
      </c>
      <c r="B487" s="2">
        <v>0.03752659</v>
      </c>
      <c r="C487" s="1" t="s">
        <v>110</v>
      </c>
      <c r="D487" s="2">
        <v>0.919960813526214</v>
      </c>
      <c r="E487" s="2">
        <v>0.0407915092123983</v>
      </c>
      <c r="F487" s="1" t="s">
        <v>399</v>
      </c>
      <c r="G487" s="2">
        <v>-1.36343949725763</v>
      </c>
      <c r="H487" s="2">
        <v>2.6985042681358</v>
      </c>
    </row>
    <row r="488" spans="1:8">
      <c r="A488" s="1" t="s">
        <v>136</v>
      </c>
      <c r="B488" s="2">
        <v>0.027576225</v>
      </c>
      <c r="C488" s="1" t="s">
        <v>110</v>
      </c>
      <c r="D488" s="2">
        <v>0.919960813526214</v>
      </c>
      <c r="E488" s="2">
        <v>0.0299754343821453</v>
      </c>
      <c r="F488" s="1" t="s">
        <v>399</v>
      </c>
      <c r="G488" s="2">
        <v>-1.36343949725763</v>
      </c>
      <c r="H488" s="2">
        <v>2.6985042681358</v>
      </c>
    </row>
    <row r="489" spans="1:8">
      <c r="A489" s="1" t="s">
        <v>136</v>
      </c>
      <c r="B489" s="2">
        <v>0.0063655435</v>
      </c>
      <c r="C489" s="1" t="s">
        <v>110</v>
      </c>
      <c r="D489" s="2">
        <v>0.919960813526214</v>
      </c>
      <c r="E489" s="2">
        <v>0.00691936374507175</v>
      </c>
      <c r="F489" s="1" t="s">
        <v>399</v>
      </c>
      <c r="G489" s="2">
        <v>-1.36343949725763</v>
      </c>
      <c r="H489" s="2">
        <v>2.6985042681358</v>
      </c>
    </row>
    <row r="490" spans="1:8">
      <c r="A490" s="1" t="s">
        <v>136</v>
      </c>
      <c r="B490" s="2">
        <v>0.0173597765</v>
      </c>
      <c r="C490" s="1" t="s">
        <v>110</v>
      </c>
      <c r="D490" s="2">
        <v>0.919960813526214</v>
      </c>
      <c r="E490" s="2">
        <v>0.0188701260366296</v>
      </c>
      <c r="F490" s="1" t="s">
        <v>399</v>
      </c>
      <c r="G490" s="2">
        <v>-1.36343949725763</v>
      </c>
      <c r="H490" s="2">
        <v>2.6985042681358</v>
      </c>
    </row>
    <row r="491" spans="1:8">
      <c r="A491" s="1" t="s">
        <v>136</v>
      </c>
      <c r="B491" s="2">
        <v>0.115614885</v>
      </c>
      <c r="C491" s="1" t="s">
        <v>110</v>
      </c>
      <c r="D491" s="2">
        <v>0.919960813526214</v>
      </c>
      <c r="E491" s="2">
        <v>0.125673706205863</v>
      </c>
      <c r="F491" s="1" t="s">
        <v>399</v>
      </c>
      <c r="G491" s="2">
        <v>-1.36343949725763</v>
      </c>
      <c r="H491" s="2">
        <v>2.6985042681358</v>
      </c>
    </row>
    <row r="492" spans="1:8">
      <c r="A492" s="1" t="s">
        <v>117</v>
      </c>
      <c r="B492" s="2">
        <v>0.211</v>
      </c>
      <c r="C492" s="1" t="s">
        <v>110</v>
      </c>
      <c r="D492" s="2">
        <v>0.992403236892688</v>
      </c>
      <c r="E492" s="2">
        <v>0.212615187210253</v>
      </c>
      <c r="F492" s="1" t="s">
        <v>399</v>
      </c>
      <c r="G492" s="2">
        <v>-1.14230280379727</v>
      </c>
      <c r="H492" s="2">
        <v>2.05579236761459</v>
      </c>
    </row>
    <row r="493" spans="1:8">
      <c r="A493" s="1" t="s">
        <v>139</v>
      </c>
      <c r="B493" s="2">
        <v>0.038</v>
      </c>
      <c r="C493" s="1" t="s">
        <v>110</v>
      </c>
      <c r="D493" s="2">
        <v>0.919960813526214</v>
      </c>
      <c r="E493" s="2">
        <v>0.0413061072181388</v>
      </c>
      <c r="F493" s="1" t="s">
        <v>399</v>
      </c>
      <c r="G493" s="2">
        <v>-2.67038668339085</v>
      </c>
      <c r="H493" s="2">
        <v>4.6462391012346</v>
      </c>
    </row>
    <row r="494" spans="1:8">
      <c r="A494" s="1" t="s">
        <v>139</v>
      </c>
      <c r="B494" s="2">
        <v>0.073</v>
      </c>
      <c r="C494" s="1" t="s">
        <v>110</v>
      </c>
      <c r="D494" s="2">
        <v>0.919960813526214</v>
      </c>
      <c r="E494" s="2">
        <v>0.0793512059716877</v>
      </c>
      <c r="F494" s="1" t="s">
        <v>399</v>
      </c>
      <c r="G494" s="2">
        <v>-2.67038668339085</v>
      </c>
      <c r="H494" s="2">
        <v>4.6462391012346</v>
      </c>
    </row>
    <row r="495" spans="1:8">
      <c r="A495" s="1" t="s">
        <v>117</v>
      </c>
      <c r="B495" s="2">
        <v>0.53</v>
      </c>
      <c r="C495" s="1" t="s">
        <v>110</v>
      </c>
      <c r="D495" s="2">
        <v>0.992403236892688</v>
      </c>
      <c r="E495" s="2">
        <v>0.534057105314854</v>
      </c>
      <c r="F495" s="1" t="s">
        <v>399</v>
      </c>
      <c r="G495" s="2">
        <v>-1.14230280379727</v>
      </c>
      <c r="H495" s="2">
        <v>2.05579236761459</v>
      </c>
    </row>
    <row r="496" spans="1:8">
      <c r="A496" s="1" t="s">
        <v>117</v>
      </c>
      <c r="B496" s="2">
        <v>0.58</v>
      </c>
      <c r="C496" s="1" t="s">
        <v>110</v>
      </c>
      <c r="D496" s="2">
        <v>0.992403236892688</v>
      </c>
      <c r="E496" s="2">
        <v>0.584439851099274</v>
      </c>
      <c r="F496" s="1" t="s">
        <v>399</v>
      </c>
      <c r="G496" s="2">
        <v>-1.14230280379727</v>
      </c>
      <c r="H496" s="2">
        <v>2.05579236761459</v>
      </c>
    </row>
    <row r="497" spans="1:8">
      <c r="A497" s="1" t="s">
        <v>126</v>
      </c>
      <c r="B497" s="2">
        <v>4.6</v>
      </c>
      <c r="C497" s="1" t="s">
        <v>110</v>
      </c>
      <c r="D497" s="2">
        <v>0.911358608023812</v>
      </c>
      <c r="E497" s="2">
        <v>5.0474093946121</v>
      </c>
      <c r="F497" s="1" t="s">
        <v>400</v>
      </c>
      <c r="G497" s="2">
        <v>-2.41700054652004</v>
      </c>
      <c r="H497" s="2">
        <v>4.24620837687132</v>
      </c>
    </row>
    <row r="498" spans="1:8">
      <c r="A498" s="1" t="s">
        <v>126</v>
      </c>
      <c r="B498" s="2">
        <v>0.0736209090909091</v>
      </c>
      <c r="C498" s="1" t="s">
        <v>110</v>
      </c>
      <c r="D498" s="2">
        <v>0.911358608023812</v>
      </c>
      <c r="E498" s="2">
        <v>0.0807814930837692</v>
      </c>
      <c r="F498" s="1" t="s">
        <v>399</v>
      </c>
      <c r="G498" s="2">
        <v>-2.41700054652004</v>
      </c>
      <c r="H498" s="2">
        <v>4.24620837687132</v>
      </c>
    </row>
    <row r="499" spans="1:8">
      <c r="A499" s="1" t="s">
        <v>126</v>
      </c>
      <c r="B499" s="2">
        <v>0.04424</v>
      </c>
      <c r="C499" s="1" t="s">
        <v>110</v>
      </c>
      <c r="D499" s="2">
        <v>0.911358608023812</v>
      </c>
      <c r="E499" s="2">
        <v>0.048542911221226</v>
      </c>
      <c r="F499" s="1" t="s">
        <v>399</v>
      </c>
      <c r="G499" s="2">
        <v>-2.41700054652004</v>
      </c>
      <c r="H499" s="2">
        <v>4.24620837687132</v>
      </c>
    </row>
    <row r="500" spans="1:8">
      <c r="A500" s="1" t="s">
        <v>154</v>
      </c>
      <c r="B500" s="2">
        <v>0.125083636363636</v>
      </c>
      <c r="C500" s="1" t="s">
        <v>110</v>
      </c>
      <c r="D500" s="2">
        <v>0.945470448484017</v>
      </c>
      <c r="E500" s="2">
        <v>0.132297774683701</v>
      </c>
      <c r="F500" s="1" t="s">
        <v>399</v>
      </c>
      <c r="G500" s="2">
        <v>-0.371903263198752</v>
      </c>
      <c r="H500" s="2">
        <v>0.767296975436132</v>
      </c>
    </row>
    <row r="501" spans="1:8">
      <c r="A501" s="1" t="s">
        <v>126</v>
      </c>
      <c r="B501" s="2">
        <v>11.4941805599245</v>
      </c>
      <c r="C501" s="1" t="s">
        <v>110</v>
      </c>
      <c r="D501" s="2">
        <v>0.911358608023812</v>
      </c>
      <c r="E501" s="2">
        <v>12.6121380307676</v>
      </c>
      <c r="F501" s="1" t="s">
        <v>400</v>
      </c>
      <c r="G501" s="2">
        <v>-2.41700054652004</v>
      </c>
      <c r="H501" s="2">
        <v>4.24620837687132</v>
      </c>
    </row>
    <row r="502" spans="1:8">
      <c r="A502" s="1" t="s">
        <v>126</v>
      </c>
      <c r="B502" s="2">
        <v>7.134318968229</v>
      </c>
      <c r="C502" s="1" t="s">
        <v>110</v>
      </c>
      <c r="D502" s="2">
        <v>0.911358608023812</v>
      </c>
      <c r="E502" s="2">
        <v>7.828223605304</v>
      </c>
      <c r="F502" s="1" t="s">
        <v>400</v>
      </c>
      <c r="G502" s="2">
        <v>-2.41700054652004</v>
      </c>
      <c r="H502" s="2">
        <v>4.24620837687132</v>
      </c>
    </row>
    <row r="503" spans="1:8">
      <c r="A503" s="1" t="s">
        <v>154</v>
      </c>
      <c r="B503" s="2">
        <v>0.52</v>
      </c>
      <c r="C503" s="1" t="s">
        <v>110</v>
      </c>
      <c r="D503" s="2">
        <v>0.945470448484017</v>
      </c>
      <c r="E503" s="2">
        <v>0.549990748874041</v>
      </c>
      <c r="F503" s="1" t="s">
        <v>399</v>
      </c>
      <c r="G503" s="2">
        <v>-0.371903263198752</v>
      </c>
      <c r="H503" s="2">
        <v>0.767296975436132</v>
      </c>
    </row>
    <row r="504" spans="1:8">
      <c r="A504" s="1" t="s">
        <v>126</v>
      </c>
      <c r="B504" s="2">
        <v>1.96953229822886</v>
      </c>
      <c r="C504" s="1" t="s">
        <v>110</v>
      </c>
      <c r="D504" s="2">
        <v>0.911358608023812</v>
      </c>
      <c r="E504" s="2">
        <v>2.16109474458094</v>
      </c>
      <c r="F504" s="1" t="s">
        <v>399</v>
      </c>
      <c r="G504" s="2">
        <v>-2.41700054652004</v>
      </c>
      <c r="H504" s="2">
        <v>4.24620837687132</v>
      </c>
    </row>
    <row r="505" spans="1:8">
      <c r="A505" s="1" t="s">
        <v>126</v>
      </c>
      <c r="B505" s="2">
        <v>0.393906459645771</v>
      </c>
      <c r="C505" s="1" t="s">
        <v>110</v>
      </c>
      <c r="D505" s="2">
        <v>0.911358608023812</v>
      </c>
      <c r="E505" s="2">
        <v>0.432218948916187</v>
      </c>
      <c r="F505" s="1" t="s">
        <v>399</v>
      </c>
      <c r="G505" s="2">
        <v>-2.41700054652004</v>
      </c>
      <c r="H505" s="2">
        <v>4.24620837687132</v>
      </c>
    </row>
    <row r="506" spans="1:8">
      <c r="A506" s="1" t="s">
        <v>154</v>
      </c>
      <c r="B506" s="2">
        <v>0.608</v>
      </c>
      <c r="C506" s="1" t="s">
        <v>110</v>
      </c>
      <c r="D506" s="2">
        <v>0.945470448484017</v>
      </c>
      <c r="E506" s="2">
        <v>0.643066106375802</v>
      </c>
      <c r="F506" s="1" t="s">
        <v>399</v>
      </c>
      <c r="G506" s="2">
        <v>-0.371903263198752</v>
      </c>
      <c r="H506" s="2">
        <v>0.767296975436132</v>
      </c>
    </row>
    <row r="507" spans="1:8">
      <c r="A507" s="1" t="s">
        <v>154</v>
      </c>
      <c r="B507" s="2">
        <v>0.102</v>
      </c>
      <c r="C507" s="1" t="s">
        <v>110</v>
      </c>
      <c r="D507" s="2">
        <v>0.945470448484017</v>
      </c>
      <c r="E507" s="2">
        <v>0.107882800740677</v>
      </c>
      <c r="F507" s="1" t="s">
        <v>399</v>
      </c>
      <c r="G507" s="2">
        <v>-0.371903263198752</v>
      </c>
      <c r="H507" s="2">
        <v>0.767296975436132</v>
      </c>
    </row>
    <row r="508" spans="1:8">
      <c r="A508" s="1" t="s">
        <v>154</v>
      </c>
      <c r="B508" s="2">
        <v>0.045</v>
      </c>
      <c r="C508" s="1" t="s">
        <v>110</v>
      </c>
      <c r="D508" s="2">
        <v>0.945470448484017</v>
      </c>
      <c r="E508" s="2">
        <v>0.0475953532679459</v>
      </c>
      <c r="F508" s="1" t="s">
        <v>399</v>
      </c>
      <c r="G508" s="2">
        <v>-0.371903263198752</v>
      </c>
      <c r="H508" s="2">
        <v>0.767296975436132</v>
      </c>
    </row>
    <row r="509" spans="1:8">
      <c r="A509" s="1" t="s">
        <v>154</v>
      </c>
      <c r="B509" s="2">
        <v>0.029</v>
      </c>
      <c r="C509" s="1" t="s">
        <v>110</v>
      </c>
      <c r="D509" s="2">
        <v>0.945470448484017</v>
      </c>
      <c r="E509" s="2">
        <v>0.0306725609948984</v>
      </c>
      <c r="F509" s="1" t="s">
        <v>399</v>
      </c>
      <c r="G509" s="2">
        <v>-0.371903263198752</v>
      </c>
      <c r="H509" s="2">
        <v>0.767296975436132</v>
      </c>
    </row>
    <row r="510" spans="1:8">
      <c r="A510" s="1" t="s">
        <v>154</v>
      </c>
      <c r="B510" s="2">
        <v>0.028</v>
      </c>
      <c r="C510" s="1" t="s">
        <v>110</v>
      </c>
      <c r="D510" s="2">
        <v>0.945470448484017</v>
      </c>
      <c r="E510" s="2">
        <v>0.029614886477833</v>
      </c>
      <c r="F510" s="1" t="s">
        <v>399</v>
      </c>
      <c r="G510" s="2">
        <v>-0.371903263198752</v>
      </c>
      <c r="H510" s="2">
        <v>0.767296975436132</v>
      </c>
    </row>
    <row r="511" spans="1:8">
      <c r="A511" s="1" t="s">
        <v>154</v>
      </c>
      <c r="B511" s="2">
        <v>0.025</v>
      </c>
      <c r="C511" s="1" t="s">
        <v>110</v>
      </c>
      <c r="D511" s="2">
        <v>0.945470448484017</v>
      </c>
      <c r="E511" s="2">
        <v>0.0264418629266366</v>
      </c>
      <c r="F511" s="1" t="s">
        <v>399</v>
      </c>
      <c r="G511" s="2">
        <v>-0.371903263198752</v>
      </c>
      <c r="H511" s="2">
        <v>0.767296975436132</v>
      </c>
    </row>
    <row r="512" spans="1:8">
      <c r="A512" s="1" t="s">
        <v>126</v>
      </c>
      <c r="B512" s="2">
        <v>0.0958202424242424</v>
      </c>
      <c r="C512" s="1" t="s">
        <v>110</v>
      </c>
      <c r="D512" s="2">
        <v>0.911358608023812</v>
      </c>
      <c r="E512" s="2">
        <v>0.105139998218724</v>
      </c>
      <c r="F512" s="1" t="s">
        <v>399</v>
      </c>
      <c r="G512" s="2">
        <v>-2.41700054652004</v>
      </c>
      <c r="H512" s="2">
        <v>4.24620837687132</v>
      </c>
    </row>
    <row r="513" spans="1:8">
      <c r="A513" s="1" t="s">
        <v>126</v>
      </c>
      <c r="B513" s="2">
        <v>0.121692242424242</v>
      </c>
      <c r="C513" s="1" t="s">
        <v>110</v>
      </c>
      <c r="D513" s="2">
        <v>0.911358608023812</v>
      </c>
      <c r="E513" s="2">
        <v>0.133528384274681</v>
      </c>
      <c r="F513" s="1" t="s">
        <v>399</v>
      </c>
      <c r="G513" s="2">
        <v>-2.41700054652004</v>
      </c>
      <c r="H513" s="2">
        <v>4.24620837687132</v>
      </c>
    </row>
    <row r="514" spans="1:8">
      <c r="A514" s="1" t="s">
        <v>126</v>
      </c>
      <c r="B514" s="2">
        <v>0.108209818181818</v>
      </c>
      <c r="C514" s="1" t="s">
        <v>110</v>
      </c>
      <c r="D514" s="2">
        <v>0.911358608023812</v>
      </c>
      <c r="E514" s="2">
        <v>0.118734620191343</v>
      </c>
      <c r="F514" s="1" t="s">
        <v>399</v>
      </c>
      <c r="G514" s="2">
        <v>-2.41700054652004</v>
      </c>
      <c r="H514" s="2">
        <v>4.24620837687132</v>
      </c>
    </row>
    <row r="515" spans="1:8">
      <c r="A515" s="1" t="s">
        <v>126</v>
      </c>
      <c r="B515" s="2">
        <v>0.0801580606060606</v>
      </c>
      <c r="C515" s="1" t="s">
        <v>110</v>
      </c>
      <c r="D515" s="2">
        <v>0.911358608023812</v>
      </c>
      <c r="E515" s="2">
        <v>0.0879544669906341</v>
      </c>
      <c r="F515" s="1" t="s">
        <v>399</v>
      </c>
      <c r="G515" s="2">
        <v>-2.41700054652004</v>
      </c>
      <c r="H515" s="2">
        <v>4.24620837687132</v>
      </c>
    </row>
    <row r="516" spans="1:8">
      <c r="A516" s="1" t="s">
        <v>126</v>
      </c>
      <c r="B516" s="2">
        <v>0.0601185454545454</v>
      </c>
      <c r="C516" s="1" t="s">
        <v>110</v>
      </c>
      <c r="D516" s="2">
        <v>0.911358608023812</v>
      </c>
      <c r="E516" s="2">
        <v>0.0659658502429755</v>
      </c>
      <c r="F516" s="1" t="s">
        <v>399</v>
      </c>
      <c r="G516" s="2">
        <v>-2.41700054652004</v>
      </c>
      <c r="H516" s="2">
        <v>4.24620837687132</v>
      </c>
    </row>
    <row r="517" spans="1:8">
      <c r="A517" s="1" t="s">
        <v>126</v>
      </c>
      <c r="B517" s="2">
        <v>0.0586574545454545</v>
      </c>
      <c r="C517" s="1" t="s">
        <v>110</v>
      </c>
      <c r="D517" s="2">
        <v>0.911358608023812</v>
      </c>
      <c r="E517" s="2">
        <v>0.0643626493775564</v>
      </c>
      <c r="F517" s="1" t="s">
        <v>399</v>
      </c>
      <c r="G517" s="2">
        <v>-2.41700054652004</v>
      </c>
      <c r="H517" s="2">
        <v>4.24620837687132</v>
      </c>
    </row>
    <row r="518" spans="1:8">
      <c r="A518" s="1" t="s">
        <v>126</v>
      </c>
      <c r="B518" s="2">
        <v>0.0699541818181818</v>
      </c>
      <c r="C518" s="1" t="s">
        <v>110</v>
      </c>
      <c r="D518" s="2">
        <v>0.911358608023812</v>
      </c>
      <c r="E518" s="2">
        <v>0.0767581292394553</v>
      </c>
      <c r="F518" s="1" t="s">
        <v>399</v>
      </c>
      <c r="G518" s="2">
        <v>-2.41700054652004</v>
      </c>
      <c r="H518" s="2">
        <v>4.24620837687132</v>
      </c>
    </row>
    <row r="519" spans="1:8">
      <c r="A519" s="1" t="s">
        <v>126</v>
      </c>
      <c r="B519" s="2">
        <v>0.0790652121212121</v>
      </c>
      <c r="C519" s="1" t="s">
        <v>110</v>
      </c>
      <c r="D519" s="2">
        <v>0.911358608023812</v>
      </c>
      <c r="E519" s="2">
        <v>0.0867553248799141</v>
      </c>
      <c r="F519" s="1" t="s">
        <v>399</v>
      </c>
      <c r="G519" s="2">
        <v>-2.41700054652004</v>
      </c>
      <c r="H519" s="2">
        <v>4.24620837687132</v>
      </c>
    </row>
    <row r="520" spans="1:8">
      <c r="A520" s="1" t="s">
        <v>126</v>
      </c>
      <c r="B520" s="2">
        <v>0.0783346666666667</v>
      </c>
      <c r="C520" s="1" t="s">
        <v>110</v>
      </c>
      <c r="D520" s="2">
        <v>0.911358608023812</v>
      </c>
      <c r="E520" s="2">
        <v>0.0859537244472046</v>
      </c>
      <c r="F520" s="1" t="s">
        <v>399</v>
      </c>
      <c r="G520" s="2">
        <v>-2.41700054652004</v>
      </c>
      <c r="H520" s="2">
        <v>4.24620837687132</v>
      </c>
    </row>
    <row r="521" spans="1:8">
      <c r="A521" s="1" t="s">
        <v>126</v>
      </c>
      <c r="B521" s="2">
        <v>0.0728704242424242</v>
      </c>
      <c r="C521" s="1" t="s">
        <v>110</v>
      </c>
      <c r="D521" s="2">
        <v>0.911358608023812</v>
      </c>
      <c r="E521" s="2">
        <v>0.0799580138936047</v>
      </c>
      <c r="F521" s="1" t="s">
        <v>399</v>
      </c>
      <c r="G521" s="2">
        <v>-2.41700054652004</v>
      </c>
      <c r="H521" s="2">
        <v>4.24620837687132</v>
      </c>
    </row>
    <row r="522" spans="1:8">
      <c r="A522" s="1" t="s">
        <v>126</v>
      </c>
      <c r="B522" s="2">
        <v>0.0816132121212121</v>
      </c>
      <c r="C522" s="1" t="s">
        <v>110</v>
      </c>
      <c r="D522" s="2">
        <v>0.911358608023812</v>
      </c>
      <c r="E522" s="2">
        <v>0.0895511507793645</v>
      </c>
      <c r="F522" s="1" t="s">
        <v>399</v>
      </c>
      <c r="G522" s="2">
        <v>-2.41700054652004</v>
      </c>
      <c r="H522" s="2">
        <v>4.24620837687132</v>
      </c>
    </row>
    <row r="523" spans="1:8">
      <c r="A523" s="1" t="s">
        <v>126</v>
      </c>
      <c r="B523" s="2">
        <v>0.0907242424242424</v>
      </c>
      <c r="C523" s="1" t="s">
        <v>110</v>
      </c>
      <c r="D523" s="2">
        <v>0.911358608023812</v>
      </c>
      <c r="E523" s="2">
        <v>0.0995483464198233</v>
      </c>
      <c r="F523" s="1" t="s">
        <v>399</v>
      </c>
      <c r="G523" s="2">
        <v>-2.41700054652004</v>
      </c>
      <c r="H523" s="2">
        <v>4.24620837687132</v>
      </c>
    </row>
    <row r="524" spans="1:8">
      <c r="A524" s="1" t="s">
        <v>126</v>
      </c>
      <c r="B524" s="2">
        <v>0.0947273939393939</v>
      </c>
      <c r="C524" s="1" t="s">
        <v>110</v>
      </c>
      <c r="D524" s="2">
        <v>0.911358608023812</v>
      </c>
      <c r="E524" s="2">
        <v>0.103940856108004</v>
      </c>
      <c r="F524" s="1" t="s">
        <v>399</v>
      </c>
      <c r="G524" s="2">
        <v>-2.41700054652004</v>
      </c>
      <c r="H524" s="2">
        <v>4.24620837687132</v>
      </c>
    </row>
    <row r="525" spans="1:8">
      <c r="A525" s="1" t="s">
        <v>126</v>
      </c>
      <c r="B525" s="2">
        <v>0.101290424242424</v>
      </c>
      <c r="C525" s="1" t="s">
        <v>110</v>
      </c>
      <c r="D525" s="2">
        <v>0.911358608023812</v>
      </c>
      <c r="E525" s="2">
        <v>0.111142225849012</v>
      </c>
      <c r="F525" s="1" t="s">
        <v>399</v>
      </c>
      <c r="G525" s="2">
        <v>-2.41700054652004</v>
      </c>
      <c r="H525" s="2">
        <v>4.24620837687132</v>
      </c>
    </row>
    <row r="526" spans="1:8">
      <c r="A526" s="1" t="s">
        <v>126</v>
      </c>
      <c r="B526" s="2">
        <v>0.0940027878787879</v>
      </c>
      <c r="C526" s="1" t="s">
        <v>110</v>
      </c>
      <c r="D526" s="2">
        <v>0.911358608023812</v>
      </c>
      <c r="E526" s="2">
        <v>0.103145772751983</v>
      </c>
      <c r="F526" s="1" t="s">
        <v>399</v>
      </c>
      <c r="G526" s="2">
        <v>-2.41700054652004</v>
      </c>
      <c r="H526" s="2">
        <v>4.24620837687132</v>
      </c>
    </row>
    <row r="527" spans="1:8">
      <c r="A527" s="1" t="s">
        <v>154</v>
      </c>
      <c r="B527" s="2">
        <v>0.0576418181818182</v>
      </c>
      <c r="C527" s="1" t="s">
        <v>110</v>
      </c>
      <c r="D527" s="2">
        <v>0.945470448484017</v>
      </c>
      <c r="E527" s="2">
        <v>0.0609662822082298</v>
      </c>
      <c r="F527" s="1" t="s">
        <v>399</v>
      </c>
      <c r="G527" s="2">
        <v>-0.371903263198752</v>
      </c>
      <c r="H527" s="2">
        <v>0.767296975436132</v>
      </c>
    </row>
    <row r="528" spans="1:8">
      <c r="A528" s="1" t="s">
        <v>154</v>
      </c>
      <c r="B528" s="2">
        <v>0.0798056565656566</v>
      </c>
      <c r="C528" s="1" t="s">
        <v>110</v>
      </c>
      <c r="D528" s="2">
        <v>0.945470448484017</v>
      </c>
      <c r="E528" s="2">
        <v>0.0844084092671731</v>
      </c>
      <c r="F528" s="1" t="s">
        <v>399</v>
      </c>
      <c r="G528" s="2">
        <v>-0.371903263198752</v>
      </c>
      <c r="H528" s="2">
        <v>0.767296975436132</v>
      </c>
    </row>
    <row r="529" spans="1:8">
      <c r="A529" s="1" t="s">
        <v>154</v>
      </c>
      <c r="B529" s="2">
        <v>0.0792018181818182</v>
      </c>
      <c r="C529" s="1" t="s">
        <v>110</v>
      </c>
      <c r="D529" s="2">
        <v>0.945470448484017</v>
      </c>
      <c r="E529" s="2">
        <v>0.0837697447961612</v>
      </c>
      <c r="F529" s="1" t="s">
        <v>399</v>
      </c>
      <c r="G529" s="2">
        <v>-0.371903263198752</v>
      </c>
      <c r="H529" s="2">
        <v>0.767296975436132</v>
      </c>
    </row>
    <row r="530" spans="1:8">
      <c r="A530" s="1" t="s">
        <v>154</v>
      </c>
      <c r="B530" s="2">
        <v>0.0481387878787879</v>
      </c>
      <c r="C530" s="1" t="s">
        <v>110</v>
      </c>
      <c r="D530" s="2">
        <v>0.945470448484017</v>
      </c>
      <c r="E530" s="2">
        <v>0.0509151692218138</v>
      </c>
      <c r="F530" s="1" t="s">
        <v>399</v>
      </c>
      <c r="G530" s="2">
        <v>-0.371903263198752</v>
      </c>
      <c r="H530" s="2">
        <v>0.767296975436132</v>
      </c>
    </row>
    <row r="531" spans="1:8">
      <c r="A531" s="1" t="s">
        <v>154</v>
      </c>
      <c r="B531" s="2">
        <v>0.0706490909090909</v>
      </c>
      <c r="C531" s="1" t="s">
        <v>110</v>
      </c>
      <c r="D531" s="2">
        <v>0.945470448484017</v>
      </c>
      <c r="E531" s="2">
        <v>0.0747237431083868</v>
      </c>
      <c r="F531" s="1" t="s">
        <v>399</v>
      </c>
      <c r="G531" s="2">
        <v>-0.371903263198752</v>
      </c>
      <c r="H531" s="2">
        <v>0.767296975436132</v>
      </c>
    </row>
    <row r="532" spans="1:8">
      <c r="A532" s="1" t="s">
        <v>154</v>
      </c>
      <c r="B532" s="2">
        <v>0.0504947474747475</v>
      </c>
      <c r="C532" s="1" t="s">
        <v>110</v>
      </c>
      <c r="D532" s="2">
        <v>0.945470448484017</v>
      </c>
      <c r="E532" s="2">
        <v>0.0534070076496961</v>
      </c>
      <c r="F532" s="1" t="s">
        <v>399</v>
      </c>
      <c r="G532" s="2">
        <v>-0.371903263198752</v>
      </c>
      <c r="H532" s="2">
        <v>0.767296975436132</v>
      </c>
    </row>
    <row r="533" spans="1:8">
      <c r="A533" s="1" t="s">
        <v>154</v>
      </c>
      <c r="B533" s="2">
        <v>0.0684218181818182</v>
      </c>
      <c r="C533" s="1" t="s">
        <v>110</v>
      </c>
      <c r="D533" s="2">
        <v>0.945470448484017</v>
      </c>
      <c r="E533" s="2">
        <v>0.0723680135021955</v>
      </c>
      <c r="F533" s="1" t="s">
        <v>399</v>
      </c>
      <c r="G533" s="2">
        <v>-0.371903263198752</v>
      </c>
      <c r="H533" s="2">
        <v>0.767296975436132</v>
      </c>
    </row>
    <row r="534" spans="1:8">
      <c r="A534" s="1" t="s">
        <v>154</v>
      </c>
      <c r="B534" s="2">
        <v>0.0642345454545454</v>
      </c>
      <c r="C534" s="1" t="s">
        <v>110</v>
      </c>
      <c r="D534" s="2">
        <v>0.945470448484017</v>
      </c>
      <c r="E534" s="2">
        <v>0.0679392418425559</v>
      </c>
      <c r="F534" s="1" t="s">
        <v>399</v>
      </c>
      <c r="G534" s="2">
        <v>-0.371903263198752</v>
      </c>
      <c r="H534" s="2">
        <v>0.767296975436132</v>
      </c>
    </row>
    <row r="535" spans="1:8">
      <c r="A535" s="1" t="s">
        <v>154</v>
      </c>
      <c r="B535" s="2">
        <v>0.0736583838383838</v>
      </c>
      <c r="C535" s="1" t="s">
        <v>110</v>
      </c>
      <c r="D535" s="2">
        <v>0.945470448484017</v>
      </c>
      <c r="E535" s="2">
        <v>0.0779065955540851</v>
      </c>
      <c r="F535" s="1" t="s">
        <v>399</v>
      </c>
      <c r="G535" s="2">
        <v>-0.371903263198752</v>
      </c>
      <c r="H535" s="2">
        <v>0.767296975436132</v>
      </c>
    </row>
    <row r="536" spans="1:8">
      <c r="A536" s="1" t="s">
        <v>154</v>
      </c>
      <c r="B536" s="2">
        <v>0.0788850505050505</v>
      </c>
      <c r="C536" s="1" t="s">
        <v>110</v>
      </c>
      <c r="D536" s="2">
        <v>0.945470448484017</v>
      </c>
      <c r="E536" s="2">
        <v>0.083434707696614</v>
      </c>
      <c r="F536" s="1" t="s">
        <v>399</v>
      </c>
      <c r="G536" s="2">
        <v>-0.371903263198752</v>
      </c>
      <c r="H536" s="2">
        <v>0.767296975436132</v>
      </c>
    </row>
    <row r="537" spans="1:8">
      <c r="A537" s="1" t="s">
        <v>154</v>
      </c>
      <c r="B537" s="2">
        <v>0.0782317171717172</v>
      </c>
      <c r="C537" s="1" t="s">
        <v>110</v>
      </c>
      <c r="D537" s="2">
        <v>0.945470448484017</v>
      </c>
      <c r="E537" s="2">
        <v>0.0827436936787979</v>
      </c>
      <c r="F537" s="1" t="s">
        <v>399</v>
      </c>
      <c r="G537" s="2">
        <v>-0.371903263198752</v>
      </c>
      <c r="H537" s="2">
        <v>0.767296975436132</v>
      </c>
    </row>
    <row r="538" spans="1:8">
      <c r="A538" s="1" t="s">
        <v>154</v>
      </c>
      <c r="B538" s="2">
        <v>0.083339595959596</v>
      </c>
      <c r="C538" s="1" t="s">
        <v>110</v>
      </c>
      <c r="D538" s="2">
        <v>0.945470448484017</v>
      </c>
      <c r="E538" s="2">
        <v>0.0881461669089966</v>
      </c>
      <c r="F538" s="1" t="s">
        <v>399</v>
      </c>
      <c r="G538" s="2">
        <v>-0.371903263198752</v>
      </c>
      <c r="H538" s="2">
        <v>0.767296975436132</v>
      </c>
    </row>
    <row r="539" spans="1:8">
      <c r="A539" s="1" t="s">
        <v>154</v>
      </c>
      <c r="B539" s="2">
        <v>0.0644919191919192</v>
      </c>
      <c r="C539" s="1" t="s">
        <v>110</v>
      </c>
      <c r="D539" s="2">
        <v>0.945470448484017</v>
      </c>
      <c r="E539" s="2">
        <v>0.068211459485938</v>
      </c>
      <c r="F539" s="1" t="s">
        <v>399</v>
      </c>
      <c r="G539" s="2">
        <v>-0.371903263198752</v>
      </c>
      <c r="H539" s="2">
        <v>0.767296975436132</v>
      </c>
    </row>
    <row r="540" spans="1:8">
      <c r="A540" s="1" t="s">
        <v>154</v>
      </c>
      <c r="B540" s="2">
        <v>0.083339595959596</v>
      </c>
      <c r="C540" s="1" t="s">
        <v>110</v>
      </c>
      <c r="D540" s="2">
        <v>0.945470448484017</v>
      </c>
      <c r="E540" s="2">
        <v>0.0881461669089966</v>
      </c>
      <c r="F540" s="1" t="s">
        <v>399</v>
      </c>
      <c r="G540" s="2">
        <v>-0.371903263198752</v>
      </c>
      <c r="H540" s="2">
        <v>0.767296975436132</v>
      </c>
    </row>
    <row r="541" spans="1:8">
      <c r="A541" s="1" t="s">
        <v>126</v>
      </c>
      <c r="B541" s="2">
        <v>0.96</v>
      </c>
      <c r="C541" s="1" t="s">
        <v>114</v>
      </c>
      <c r="D541" s="2">
        <v>0.911358608023812</v>
      </c>
      <c r="E541" s="2">
        <v>0.96</v>
      </c>
      <c r="F541" s="1" t="s">
        <v>399</v>
      </c>
      <c r="G541" s="2">
        <v>-2.41700054652004</v>
      </c>
      <c r="H541" s="2">
        <v>4.24620837687132</v>
      </c>
    </row>
    <row r="542" spans="1:8">
      <c r="A542" s="1" t="s">
        <v>117</v>
      </c>
      <c r="B542" s="2">
        <v>1.3</v>
      </c>
      <c r="C542" s="1" t="s">
        <v>114</v>
      </c>
      <c r="D542" s="2">
        <v>0.992403236892688</v>
      </c>
      <c r="E542" s="2">
        <v>1.3</v>
      </c>
      <c r="F542" s="1" t="s">
        <v>399</v>
      </c>
      <c r="G542" s="2">
        <v>-1.14230280379727</v>
      </c>
      <c r="H542" s="2">
        <v>2.05579236761459</v>
      </c>
    </row>
    <row r="543" spans="1:8">
      <c r="A543" s="1" t="s">
        <v>154</v>
      </c>
      <c r="B543" s="2">
        <v>0.34</v>
      </c>
      <c r="C543" s="1" t="s">
        <v>114</v>
      </c>
      <c r="D543" s="2">
        <v>0.945470448484017</v>
      </c>
      <c r="E543" s="2">
        <v>0.34</v>
      </c>
      <c r="F543" s="1" t="s">
        <v>399</v>
      </c>
      <c r="G543" s="2">
        <v>-0.371903263198752</v>
      </c>
      <c r="H543" s="2">
        <v>0.767296975436132</v>
      </c>
    </row>
    <row r="544" spans="1:8">
      <c r="A544" s="1" t="s">
        <v>112</v>
      </c>
      <c r="B544" s="2">
        <v>3.65</v>
      </c>
      <c r="C544" s="1" t="s">
        <v>114</v>
      </c>
      <c r="D544" s="2">
        <v>0.995980980414355</v>
      </c>
      <c r="E544" s="2">
        <v>3.65</v>
      </c>
      <c r="F544" s="1" t="s">
        <v>399</v>
      </c>
      <c r="G544" s="2">
        <v>-3.3755808488784</v>
      </c>
      <c r="H544" s="2">
        <v>6.82112077050964</v>
      </c>
    </row>
    <row r="545" spans="1:8">
      <c r="A545" s="1" t="s">
        <v>174</v>
      </c>
      <c r="B545" s="2">
        <v>0.1</v>
      </c>
      <c r="C545" s="1" t="s">
        <v>110</v>
      </c>
      <c r="D545" s="2">
        <v>0.919960813526214</v>
      </c>
      <c r="E545" s="2">
        <v>0.108700282152997</v>
      </c>
      <c r="F545" s="1" t="s">
        <v>399</v>
      </c>
      <c r="G545" s="2">
        <v>-0.214683057252169</v>
      </c>
      <c r="H545" s="2">
        <v>0.459258692096412</v>
      </c>
    </row>
    <row r="546" spans="1:8">
      <c r="A546" s="1" t="s">
        <v>174</v>
      </c>
      <c r="B546" s="2">
        <v>0.02</v>
      </c>
      <c r="C546" s="1" t="s">
        <v>110</v>
      </c>
      <c r="D546" s="2">
        <v>0.919960813526214</v>
      </c>
      <c r="E546" s="2">
        <v>0.0217400564305994</v>
      </c>
      <c r="F546" s="1" t="s">
        <v>399</v>
      </c>
      <c r="G546" s="2">
        <v>-0.214683057252169</v>
      </c>
      <c r="H546" s="2">
        <v>0.459258692096412</v>
      </c>
    </row>
    <row r="547" spans="1:8">
      <c r="A547" s="1" t="s">
        <v>174</v>
      </c>
      <c r="B547" s="2">
        <v>0.08</v>
      </c>
      <c r="C547" s="1" t="s">
        <v>110</v>
      </c>
      <c r="D547" s="2">
        <v>0.919960813526214</v>
      </c>
      <c r="E547" s="2">
        <v>0.0869602257223975</v>
      </c>
      <c r="F547" s="1" t="s">
        <v>399</v>
      </c>
      <c r="G547" s="2">
        <v>-0.214683057252169</v>
      </c>
      <c r="H547" s="2">
        <v>0.459258692096412</v>
      </c>
    </row>
    <row r="548" spans="1:8">
      <c r="A548" s="1" t="s">
        <v>174</v>
      </c>
      <c r="B548" s="2">
        <v>0.22</v>
      </c>
      <c r="C548" s="1" t="s">
        <v>110</v>
      </c>
      <c r="D548" s="2">
        <v>0.919960813526214</v>
      </c>
      <c r="E548" s="2">
        <v>0.239140620736593</v>
      </c>
      <c r="F548" s="1" t="s">
        <v>399</v>
      </c>
      <c r="G548" s="2">
        <v>-0.214683057252169</v>
      </c>
      <c r="H548" s="2">
        <v>0.459258692096412</v>
      </c>
    </row>
    <row r="549" spans="1:8">
      <c r="A549" s="1" t="s">
        <v>174</v>
      </c>
      <c r="B549" s="2">
        <v>0.77</v>
      </c>
      <c r="C549" s="1" t="s">
        <v>110</v>
      </c>
      <c r="D549" s="2">
        <v>0.919960813526214</v>
      </c>
      <c r="E549" s="2">
        <v>0.836992172578076</v>
      </c>
      <c r="F549" s="1" t="s">
        <v>400</v>
      </c>
      <c r="G549" s="2">
        <v>-0.214683057252169</v>
      </c>
      <c r="H549" s="2">
        <v>0.459258692096412</v>
      </c>
    </row>
    <row r="550" spans="1:8">
      <c r="A550" s="1" t="s">
        <v>126</v>
      </c>
      <c r="B550" s="2">
        <v>0.432978767123288</v>
      </c>
      <c r="C550" s="1" t="s">
        <v>114</v>
      </c>
      <c r="D550" s="2">
        <v>0.911358608023812</v>
      </c>
      <c r="E550" s="2">
        <v>0.432978767123288</v>
      </c>
      <c r="F550" s="1" t="s">
        <v>399</v>
      </c>
      <c r="G550" s="2">
        <v>-2.41700054652004</v>
      </c>
      <c r="H550" s="2">
        <v>4.24620837687132</v>
      </c>
    </row>
    <row r="551" spans="1:8">
      <c r="A551" s="1" t="s">
        <v>126</v>
      </c>
      <c r="B551" s="2">
        <v>4.438</v>
      </c>
      <c r="C551" s="1" t="s">
        <v>110</v>
      </c>
      <c r="D551" s="2">
        <v>0.911358608023812</v>
      </c>
      <c r="E551" s="2">
        <v>4.86965280288881</v>
      </c>
      <c r="F551" s="1" t="s">
        <v>400</v>
      </c>
      <c r="G551" s="2">
        <v>-2.41700054652004</v>
      </c>
      <c r="H551" s="2">
        <v>4.24620837687132</v>
      </c>
    </row>
    <row r="552" spans="1:8">
      <c r="A552" s="1" t="s">
        <v>126</v>
      </c>
      <c r="B552" s="2">
        <v>6.181</v>
      </c>
      <c r="C552" s="1" t="s">
        <v>110</v>
      </c>
      <c r="D552" s="2">
        <v>0.911358608023812</v>
      </c>
      <c r="E552" s="2">
        <v>6.78218205828205</v>
      </c>
      <c r="F552" s="1" t="s">
        <v>400</v>
      </c>
      <c r="G552" s="2">
        <v>-2.41700054652004</v>
      </c>
      <c r="H552" s="2">
        <v>4.24620837687132</v>
      </c>
    </row>
    <row r="553" spans="1:8">
      <c r="A553" s="1" t="s">
        <v>126</v>
      </c>
      <c r="B553" s="2">
        <v>0.048</v>
      </c>
      <c r="C553" s="1" t="s">
        <v>110</v>
      </c>
      <c r="D553" s="2">
        <v>0.911358608023812</v>
      </c>
      <c r="E553" s="2">
        <v>0.0526686197698654</v>
      </c>
      <c r="F553" s="1" t="s">
        <v>399</v>
      </c>
      <c r="G553" s="2">
        <v>-2.41700054652004</v>
      </c>
      <c r="H553" s="2">
        <v>4.24620837687132</v>
      </c>
    </row>
    <row r="554" spans="1:8">
      <c r="A554" s="1" t="s">
        <v>126</v>
      </c>
      <c r="B554" s="2">
        <v>0.034</v>
      </c>
      <c r="C554" s="1" t="s">
        <v>110</v>
      </c>
      <c r="D554" s="2">
        <v>0.911358608023812</v>
      </c>
      <c r="E554" s="2">
        <v>0.0373069390036547</v>
      </c>
      <c r="F554" s="1" t="s">
        <v>399</v>
      </c>
      <c r="G554" s="2">
        <v>-2.41700054652004</v>
      </c>
      <c r="H554" s="2">
        <v>4.24620837687132</v>
      </c>
    </row>
    <row r="555" spans="1:8">
      <c r="A555" s="1" t="s">
        <v>126</v>
      </c>
      <c r="B555" s="2">
        <v>0.018</v>
      </c>
      <c r="C555" s="1" t="s">
        <v>110</v>
      </c>
      <c r="D555" s="2">
        <v>0.911358608023812</v>
      </c>
      <c r="E555" s="2">
        <v>0.0197507324136995</v>
      </c>
      <c r="F555" s="1" t="s">
        <v>399</v>
      </c>
      <c r="G555" s="2">
        <v>-2.41700054652004</v>
      </c>
      <c r="H555" s="2">
        <v>4.24620837687132</v>
      </c>
    </row>
    <row r="556" spans="1:8">
      <c r="A556" s="1" t="s">
        <v>126</v>
      </c>
      <c r="B556" s="2">
        <v>0.129</v>
      </c>
      <c r="C556" s="1" t="s">
        <v>110</v>
      </c>
      <c r="D556" s="2">
        <v>0.911358608023812</v>
      </c>
      <c r="E556" s="2">
        <v>0.141546915631513</v>
      </c>
      <c r="F556" s="1" t="s">
        <v>399</v>
      </c>
      <c r="G556" s="2">
        <v>-2.41700054652004</v>
      </c>
      <c r="H556" s="2">
        <v>4.24620837687132</v>
      </c>
    </row>
    <row r="557" spans="1:8">
      <c r="A557" s="1" t="s">
        <v>160</v>
      </c>
      <c r="B557" s="2">
        <v>0.53</v>
      </c>
      <c r="C557" s="1" t="s">
        <v>114</v>
      </c>
      <c r="D557" s="2">
        <v>0.919960813526214</v>
      </c>
      <c r="E557" s="2">
        <v>0.53</v>
      </c>
      <c r="F557" s="1" t="s">
        <v>399</v>
      </c>
      <c r="G557" s="2">
        <v>-0.9675</v>
      </c>
      <c r="H557" s="2">
        <v>1.7405</v>
      </c>
    </row>
    <row r="558" spans="1:8">
      <c r="A558" s="1" t="s">
        <v>160</v>
      </c>
      <c r="B558" s="2">
        <v>0.044</v>
      </c>
      <c r="C558" s="1" t="s">
        <v>114</v>
      </c>
      <c r="D558" s="2">
        <v>0.919960813526214</v>
      </c>
      <c r="E558" s="2">
        <v>0.044</v>
      </c>
      <c r="F558" s="1" t="s">
        <v>399</v>
      </c>
      <c r="G558" s="2">
        <v>-0.9675</v>
      </c>
      <c r="H558" s="2">
        <v>1.7405</v>
      </c>
    </row>
    <row r="559" spans="1:8">
      <c r="A559" s="1" t="s">
        <v>160</v>
      </c>
      <c r="B559" s="2">
        <v>0.79</v>
      </c>
      <c r="C559" s="1" t="s">
        <v>114</v>
      </c>
      <c r="D559" s="2">
        <v>0.919960813526214</v>
      </c>
      <c r="E559" s="2">
        <v>0.79</v>
      </c>
      <c r="F559" s="1" t="s">
        <v>399</v>
      </c>
      <c r="G559" s="2">
        <v>-0.9675</v>
      </c>
      <c r="H559" s="2">
        <v>1.7405</v>
      </c>
    </row>
    <row r="560" spans="1:8">
      <c r="A560" s="1" t="s">
        <v>160</v>
      </c>
      <c r="B560" s="2">
        <v>0.06</v>
      </c>
      <c r="C560" s="1" t="s">
        <v>114</v>
      </c>
      <c r="D560" s="2">
        <v>0.919960813526214</v>
      </c>
      <c r="E560" s="2">
        <v>0.06</v>
      </c>
      <c r="F560" s="1" t="s">
        <v>399</v>
      </c>
      <c r="G560" s="2">
        <v>-0.9675</v>
      </c>
      <c r="H560" s="2">
        <v>1.7405</v>
      </c>
    </row>
    <row r="561" spans="1:9">
      <c r="A561" s="1" t="s">
        <v>160</v>
      </c>
      <c r="B561" s="2">
        <v>0.2</v>
      </c>
      <c r="C561" s="1" t="s">
        <v>114</v>
      </c>
      <c r="D561" s="2">
        <v>0.919960813526214</v>
      </c>
      <c r="E561" s="2">
        <v>0.2</v>
      </c>
      <c r="F561" s="1" t="s">
        <v>399</v>
      </c>
      <c r="G561" s="2">
        <v>-0.9675</v>
      </c>
      <c r="H561" s="2">
        <v>1.7405</v>
      </c>
    </row>
    <row r="562" spans="1:9">
      <c r="A562" s="1" t="s">
        <v>402</v>
      </c>
      <c r="B562" s="2">
        <v>0</v>
      </c>
      <c r="C562" s="1" t="s">
        <v>114</v>
      </c>
      <c r="D562" s="2">
        <v>0.919960813526214</v>
      </c>
      <c r="E562" s="2">
        <v>0</v>
      </c>
      <c r="F562" s="1" t="s">
        <v>399</v>
      </c>
      <c r="G562" s="2" t="s">
        <v>401</v>
      </c>
      <c r="H562" s="2" t="s">
        <v>401</v>
      </c>
      <c r="I562" s="1">
        <v>1</v>
      </c>
    </row>
    <row r="563" spans="1:9">
      <c r="A563" s="1" t="s">
        <v>173</v>
      </c>
      <c r="B563" s="2">
        <v>0.005</v>
      </c>
      <c r="C563" s="1" t="s">
        <v>110</v>
      </c>
      <c r="D563" s="2">
        <v>0.919960813526214</v>
      </c>
      <c r="E563" s="2">
        <v>0.00543501410764984</v>
      </c>
      <c r="F563" s="1" t="s">
        <v>399</v>
      </c>
      <c r="G563" s="2">
        <v>-0.214683057252169</v>
      </c>
      <c r="H563" s="2">
        <v>0.459258692096412</v>
      </c>
      <c r="I563" s="1">
        <v>1</v>
      </c>
    </row>
    <row r="564" spans="1:9">
      <c r="A564" s="1" t="s">
        <v>173</v>
      </c>
      <c r="B564" s="2">
        <v>0.1</v>
      </c>
      <c r="C564" s="1" t="s">
        <v>110</v>
      </c>
      <c r="D564" s="2">
        <v>0.919960813526214</v>
      </c>
      <c r="E564" s="2">
        <v>0.108700282152997</v>
      </c>
      <c r="F564" s="1" t="s">
        <v>399</v>
      </c>
      <c r="G564" s="2">
        <v>-0.214683057252169</v>
      </c>
      <c r="H564" s="2">
        <v>0.459258692096412</v>
      </c>
      <c r="I564" s="1">
        <v>1</v>
      </c>
    </row>
    <row r="565" spans="1:9">
      <c r="A565" s="1" t="s">
        <v>173</v>
      </c>
      <c r="B565" s="2">
        <v>0.02</v>
      </c>
      <c r="C565" s="1" t="s">
        <v>110</v>
      </c>
      <c r="D565" s="2">
        <v>0.919960813526214</v>
      </c>
      <c r="E565" s="2">
        <v>0.0217400564305994</v>
      </c>
      <c r="F565" s="1" t="s">
        <v>399</v>
      </c>
      <c r="G565" s="2">
        <v>-0.214683057252169</v>
      </c>
      <c r="H565" s="2">
        <v>0.459258692096412</v>
      </c>
      <c r="I565" s="1">
        <v>1</v>
      </c>
    </row>
    <row r="566" spans="1:9">
      <c r="A566" s="1" t="s">
        <v>173</v>
      </c>
      <c r="B566" s="2">
        <v>0.08</v>
      </c>
      <c r="C566" s="1" t="s">
        <v>110</v>
      </c>
      <c r="D566" s="2">
        <v>0.919960813526214</v>
      </c>
      <c r="E566" s="2">
        <v>0.0869602257223975</v>
      </c>
      <c r="F566" s="1" t="s">
        <v>399</v>
      </c>
      <c r="G566" s="2">
        <v>-0.214683057252169</v>
      </c>
      <c r="H566" s="2">
        <v>0.459258692096412</v>
      </c>
      <c r="I566" s="1">
        <v>1</v>
      </c>
    </row>
    <row r="567" spans="1:9">
      <c r="A567" s="1" t="s">
        <v>173</v>
      </c>
      <c r="B567" s="2">
        <v>0.22</v>
      </c>
      <c r="C567" s="1" t="s">
        <v>110</v>
      </c>
      <c r="D567" s="2">
        <v>0.919960813526214</v>
      </c>
      <c r="E567" s="2">
        <v>0.239140620736593</v>
      </c>
      <c r="F567" s="1" t="s">
        <v>399</v>
      </c>
      <c r="G567" s="2">
        <v>-0.214683057252169</v>
      </c>
      <c r="H567" s="2">
        <v>0.459258692096412</v>
      </c>
      <c r="I567" s="1">
        <v>1</v>
      </c>
    </row>
    <row r="568" spans="1:9">
      <c r="A568" s="1" t="s">
        <v>173</v>
      </c>
      <c r="B568" s="2">
        <v>0.77</v>
      </c>
      <c r="C568" s="1" t="s">
        <v>110</v>
      </c>
      <c r="D568" s="2">
        <v>0.919960813526214</v>
      </c>
      <c r="E568" s="2">
        <v>0.836992172578076</v>
      </c>
      <c r="F568" s="1" t="s">
        <v>400</v>
      </c>
      <c r="G568" s="2">
        <v>-0.214683057252169</v>
      </c>
      <c r="H568" s="2">
        <v>0.459258692096412</v>
      </c>
      <c r="I568" s="1">
        <v>1</v>
      </c>
    </row>
    <row r="569" spans="1:9">
      <c r="A569" s="1" t="s">
        <v>403</v>
      </c>
      <c r="B569" s="2">
        <v>0.00702046332046332</v>
      </c>
      <c r="C569" s="1" t="s">
        <v>114</v>
      </c>
      <c r="D569" s="2">
        <v>0.919960813526214</v>
      </c>
      <c r="E569" s="2">
        <v>0.00702046332046332</v>
      </c>
      <c r="F569" s="1" t="s">
        <v>399</v>
      </c>
      <c r="G569" s="2">
        <v>-0.0501657318184515</v>
      </c>
      <c r="H569" s="2">
        <v>0.216415877141424</v>
      </c>
      <c r="I569" s="1">
        <v>1</v>
      </c>
    </row>
    <row r="570" spans="1:9">
      <c r="A570" s="1" t="s">
        <v>403</v>
      </c>
      <c r="B570" s="2">
        <v>0.252</v>
      </c>
      <c r="C570" s="1" t="s">
        <v>114</v>
      </c>
      <c r="D570" s="2">
        <v>0.919960813526214</v>
      </c>
      <c r="E570" s="2">
        <v>0.252</v>
      </c>
      <c r="F570" s="1" t="s">
        <v>400</v>
      </c>
      <c r="G570" s="2">
        <v>-0.0501657318184515</v>
      </c>
      <c r="H570" s="2">
        <v>0.216415877141424</v>
      </c>
      <c r="I570" s="1">
        <v>1</v>
      </c>
    </row>
    <row r="571" spans="1:9">
      <c r="A571" s="1" t="s">
        <v>403</v>
      </c>
      <c r="B571" s="2">
        <v>0.049802371541502</v>
      </c>
      <c r="C571" s="1" t="s">
        <v>114</v>
      </c>
      <c r="D571" s="2">
        <v>0.919960813526214</v>
      </c>
      <c r="E571" s="2">
        <v>0.049802371541502</v>
      </c>
      <c r="F571" s="1" t="s">
        <v>399</v>
      </c>
      <c r="G571" s="2">
        <v>-0.0501657318184515</v>
      </c>
      <c r="H571" s="2">
        <v>0.216415877141424</v>
      </c>
      <c r="I571" s="1">
        <v>1</v>
      </c>
    </row>
    <row r="572" spans="1:9">
      <c r="A572" s="1" t="s">
        <v>403</v>
      </c>
      <c r="B572" s="2">
        <v>0.116447773781471</v>
      </c>
      <c r="C572" s="1" t="s">
        <v>114</v>
      </c>
      <c r="D572" s="2">
        <v>0.919960813526214</v>
      </c>
      <c r="E572" s="2">
        <v>0.116447773781471</v>
      </c>
      <c r="F572" s="1" t="s">
        <v>399</v>
      </c>
      <c r="G572" s="2">
        <v>-0.0501657318184515</v>
      </c>
      <c r="H572" s="2">
        <v>0.216415877141424</v>
      </c>
      <c r="I572" s="1">
        <v>1</v>
      </c>
    </row>
    <row r="573" spans="1:9">
      <c r="A573" s="1" t="s">
        <v>403</v>
      </c>
      <c r="B573" s="2">
        <v>0.106590995907231</v>
      </c>
      <c r="C573" s="1" t="s">
        <v>114</v>
      </c>
      <c r="D573" s="2">
        <v>0.919960813526214</v>
      </c>
      <c r="E573" s="2">
        <v>0.106590995907231</v>
      </c>
      <c r="F573" s="1" t="s">
        <v>399</v>
      </c>
      <c r="G573" s="2">
        <v>-0.0501657318184515</v>
      </c>
      <c r="H573" s="2">
        <v>0.216415877141424</v>
      </c>
      <c r="I573" s="1">
        <v>1</v>
      </c>
    </row>
    <row r="574" spans="1:9">
      <c r="A574" s="1" t="s">
        <v>137</v>
      </c>
      <c r="B574" s="2">
        <v>0.036</v>
      </c>
      <c r="C574" s="1" t="s">
        <v>110</v>
      </c>
      <c r="D574" s="2">
        <v>0.898085980559174</v>
      </c>
      <c r="E574" s="2">
        <v>0.0400852488283865</v>
      </c>
      <c r="F574" s="1" t="s">
        <v>399</v>
      </c>
      <c r="G574" s="2">
        <v>-1.69456803813426</v>
      </c>
      <c r="H574" s="2">
        <v>3.02474082288056</v>
      </c>
      <c r="I574" s="1">
        <v>1</v>
      </c>
    </row>
    <row r="575" spans="1:9">
      <c r="A575" s="1" t="s">
        <v>137</v>
      </c>
      <c r="B575" s="2">
        <v>0.07</v>
      </c>
      <c r="C575" s="1" t="s">
        <v>110</v>
      </c>
      <c r="D575" s="2">
        <v>0.898085980559174</v>
      </c>
      <c r="E575" s="2">
        <v>0.0779435393885294</v>
      </c>
      <c r="F575" s="1" t="s">
        <v>399</v>
      </c>
      <c r="G575" s="2">
        <v>-1.69456803813426</v>
      </c>
      <c r="H575" s="2">
        <v>3.02474082288056</v>
      </c>
      <c r="I575" s="1">
        <v>1</v>
      </c>
    </row>
    <row r="576" spans="1:9">
      <c r="A576" s="1" t="s">
        <v>137</v>
      </c>
      <c r="B576" s="2">
        <v>0.06</v>
      </c>
      <c r="C576" s="1" t="s">
        <v>110</v>
      </c>
      <c r="D576" s="2">
        <v>0.898085980559174</v>
      </c>
      <c r="E576" s="2">
        <v>0.0668087480473109</v>
      </c>
      <c r="F576" s="1" t="s">
        <v>399</v>
      </c>
      <c r="G576" s="2">
        <v>-1.69456803813426</v>
      </c>
      <c r="H576" s="2">
        <v>3.02474082288056</v>
      </c>
      <c r="I576" s="1">
        <v>1</v>
      </c>
    </row>
    <row r="577" spans="1:9">
      <c r="A577" s="1" t="s">
        <v>137</v>
      </c>
      <c r="B577" s="2">
        <v>0.68649885583524</v>
      </c>
      <c r="C577" s="1" t="s">
        <v>110</v>
      </c>
      <c r="D577" s="2">
        <v>0.898085980559174</v>
      </c>
      <c r="E577" s="2">
        <v>0.764402151571062</v>
      </c>
      <c r="F577" s="1" t="s">
        <v>399</v>
      </c>
      <c r="G577" s="2">
        <v>-1.69456803813426</v>
      </c>
      <c r="H577" s="2">
        <v>3.02474082288056</v>
      </c>
      <c r="I577" s="1">
        <v>1</v>
      </c>
    </row>
    <row r="578" spans="1:9">
      <c r="A578" s="1" t="s">
        <v>137</v>
      </c>
      <c r="B578" s="2">
        <v>0.0497645072425131</v>
      </c>
      <c r="C578" s="1" t="s">
        <v>110</v>
      </c>
      <c r="D578" s="2">
        <v>0.898085980559174</v>
      </c>
      <c r="E578" s="2">
        <v>0.0554117404343939</v>
      </c>
      <c r="F578" s="1" t="s">
        <v>399</v>
      </c>
      <c r="G578" s="2">
        <v>-1.69456803813426</v>
      </c>
      <c r="H578" s="2">
        <v>3.02474082288056</v>
      </c>
      <c r="I578" s="1">
        <v>1</v>
      </c>
    </row>
    <row r="579" spans="1:9">
      <c r="A579" s="1" t="s">
        <v>137</v>
      </c>
      <c r="B579" s="2">
        <v>0.0601839509464143</v>
      </c>
      <c r="C579" s="1" t="s">
        <v>110</v>
      </c>
      <c r="D579" s="2">
        <v>0.898085980559174</v>
      </c>
      <c r="E579" s="2">
        <v>0.0670135735878452</v>
      </c>
      <c r="F579" s="1" t="s">
        <v>399</v>
      </c>
      <c r="G579" s="2">
        <v>-1.69456803813426</v>
      </c>
      <c r="H579" s="2">
        <v>3.02474082288056</v>
      </c>
      <c r="I579" s="1">
        <v>1</v>
      </c>
    </row>
    <row r="580" spans="1:9">
      <c r="A580" s="1" t="s">
        <v>137</v>
      </c>
      <c r="B580" s="2">
        <v>0.0769794721407625</v>
      </c>
      <c r="C580" s="1" t="s">
        <v>110</v>
      </c>
      <c r="D580" s="2">
        <v>0.898085980559174</v>
      </c>
      <c r="E580" s="2">
        <v>0.0857150359844532</v>
      </c>
      <c r="F580" s="1" t="s">
        <v>399</v>
      </c>
      <c r="G580" s="2">
        <v>-1.69456803813426</v>
      </c>
      <c r="H580" s="2">
        <v>3.02474082288056</v>
      </c>
      <c r="I580" s="1">
        <v>1</v>
      </c>
    </row>
    <row r="581" spans="1:9">
      <c r="A581" s="1" t="s">
        <v>137</v>
      </c>
      <c r="B581" s="2">
        <v>0.855034045428557</v>
      </c>
      <c r="C581" s="1" t="s">
        <v>114</v>
      </c>
      <c r="D581" s="2">
        <v>0.898085980559174</v>
      </c>
      <c r="E581" s="2">
        <v>0.855034045428557</v>
      </c>
      <c r="F581" s="1" t="s">
        <v>399</v>
      </c>
      <c r="G581" s="2">
        <v>-1.69456803813426</v>
      </c>
      <c r="H581" s="2">
        <v>3.02474082288056</v>
      </c>
      <c r="I581" s="1">
        <v>1</v>
      </c>
    </row>
    <row r="582" spans="1:9">
      <c r="A582" s="1" t="s">
        <v>137</v>
      </c>
      <c r="B582" s="2">
        <v>0.0356363636363636</v>
      </c>
      <c r="C582" s="1" t="s">
        <v>110</v>
      </c>
      <c r="D582" s="2">
        <v>0.898085980559174</v>
      </c>
      <c r="E582" s="2">
        <v>0.0396803473250695</v>
      </c>
      <c r="F582" s="1" t="s">
        <v>399</v>
      </c>
      <c r="G582" s="2">
        <v>-1.69456803813426</v>
      </c>
      <c r="H582" s="2">
        <v>3.02474082288056</v>
      </c>
      <c r="I582" s="1">
        <v>1</v>
      </c>
    </row>
    <row r="583" spans="1:9">
      <c r="A583" s="1" t="s">
        <v>137</v>
      </c>
      <c r="B583" s="2">
        <v>0.0224</v>
      </c>
      <c r="C583" s="1" t="s">
        <v>114</v>
      </c>
      <c r="D583" s="2">
        <v>0.898085980559174</v>
      </c>
      <c r="E583" s="2">
        <v>0.0224</v>
      </c>
      <c r="F583" s="1" t="s">
        <v>399</v>
      </c>
      <c r="G583" s="2">
        <v>-1.69456803813426</v>
      </c>
      <c r="H583" s="2">
        <v>3.02474082288056</v>
      </c>
      <c r="I583" s="1">
        <v>1</v>
      </c>
    </row>
    <row r="584" spans="1:9">
      <c r="A584" s="1" t="s">
        <v>137</v>
      </c>
      <c r="B584" s="2">
        <v>0.00950467971305181</v>
      </c>
      <c r="C584" s="1" t="s">
        <v>110</v>
      </c>
      <c r="D584" s="2">
        <v>0.898085980559174</v>
      </c>
      <c r="E584" s="2">
        <v>0.0105832625369944</v>
      </c>
      <c r="F584" s="1" t="s">
        <v>399</v>
      </c>
      <c r="G584" s="2">
        <v>-1.69456803813426</v>
      </c>
      <c r="H584" s="2">
        <v>3.02474082288056</v>
      </c>
      <c r="I584" s="1">
        <v>1</v>
      </c>
    </row>
    <row r="585" spans="1:9">
      <c r="A585" s="1" t="s">
        <v>137</v>
      </c>
      <c r="B585" s="2">
        <v>0.369881109643329</v>
      </c>
      <c r="C585" s="1" t="s">
        <v>110</v>
      </c>
      <c r="D585" s="2">
        <v>0.898085980559174</v>
      </c>
      <c r="E585" s="2">
        <v>0.411854897693682</v>
      </c>
      <c r="F585" s="1" t="s">
        <v>399</v>
      </c>
      <c r="G585" s="2">
        <v>-1.69456803813426</v>
      </c>
      <c r="H585" s="2">
        <v>3.02474082288056</v>
      </c>
      <c r="I585" s="1">
        <v>1</v>
      </c>
    </row>
    <row r="586" spans="1:9">
      <c r="A586" s="1" t="s">
        <v>137</v>
      </c>
      <c r="B586" s="2">
        <v>2.21153846153846</v>
      </c>
      <c r="C586" s="1" t="s">
        <v>110</v>
      </c>
      <c r="D586" s="2">
        <v>0.898085980559174</v>
      </c>
      <c r="E586" s="2">
        <v>2.46250193123101</v>
      </c>
      <c r="F586" s="1" t="s">
        <v>399</v>
      </c>
      <c r="G586" s="2">
        <v>-1.69456803813426</v>
      </c>
      <c r="H586" s="2">
        <v>3.02474082288056</v>
      </c>
      <c r="I586" s="1">
        <v>1</v>
      </c>
    </row>
    <row r="587" spans="1:9">
      <c r="A587" s="1" t="s">
        <v>137</v>
      </c>
      <c r="B587" s="2">
        <v>0.997566909975669</v>
      </c>
      <c r="C587" s="1" t="s">
        <v>110</v>
      </c>
      <c r="D587" s="2">
        <v>0.898085980559174</v>
      </c>
      <c r="E587" s="2">
        <v>1.11076993914832</v>
      </c>
      <c r="F587" s="1" t="s">
        <v>399</v>
      </c>
      <c r="G587" s="2">
        <v>-1.69456803813426</v>
      </c>
      <c r="H587" s="2">
        <v>3.02474082288056</v>
      </c>
      <c r="I587" s="1">
        <v>1</v>
      </c>
    </row>
    <row r="588" spans="1:9">
      <c r="A588" s="1" t="s">
        <v>137</v>
      </c>
      <c r="B588" s="2">
        <v>10.2868318122555</v>
      </c>
      <c r="C588" s="1" t="s">
        <v>110</v>
      </c>
      <c r="D588" s="2">
        <v>0.898085980559174</v>
      </c>
      <c r="E588" s="2">
        <v>11.4541725791673</v>
      </c>
      <c r="F588" s="1" t="s">
        <v>400</v>
      </c>
      <c r="G588" s="2">
        <v>-1.69456803813426</v>
      </c>
      <c r="H588" s="2">
        <v>3.02474082288056</v>
      </c>
      <c r="I588" s="1">
        <v>1</v>
      </c>
    </row>
    <row r="589" spans="1:9">
      <c r="A589" s="1" t="s">
        <v>137</v>
      </c>
      <c r="B589" s="2">
        <v>0.103425636363636</v>
      </c>
      <c r="C589" s="1" t="s">
        <v>114</v>
      </c>
      <c r="D589" s="2">
        <v>0.898085980559174</v>
      </c>
      <c r="E589" s="2">
        <v>0.103425636363636</v>
      </c>
      <c r="F589" s="1" t="s">
        <v>399</v>
      </c>
      <c r="G589" s="2">
        <v>-1.69456803813426</v>
      </c>
      <c r="H589" s="2">
        <v>3.02474082288056</v>
      </c>
      <c r="I589" s="1">
        <v>1</v>
      </c>
    </row>
    <row r="590" spans="1:9">
      <c r="A590" s="1" t="s">
        <v>137</v>
      </c>
      <c r="B590" s="2">
        <v>1.94674418604651</v>
      </c>
      <c r="C590" s="1" t="s">
        <v>110</v>
      </c>
      <c r="D590" s="2">
        <v>0.898085980559174</v>
      </c>
      <c r="E590" s="2">
        <v>2.16765903063581</v>
      </c>
      <c r="F590" s="1" t="s">
        <v>399</v>
      </c>
      <c r="G590" s="2">
        <v>-1.69456803813426</v>
      </c>
      <c r="H590" s="2">
        <v>3.02474082288056</v>
      </c>
      <c r="I590" s="1">
        <v>1</v>
      </c>
    </row>
    <row r="591" spans="1:9">
      <c r="A591" s="1" t="s">
        <v>137</v>
      </c>
      <c r="B591" s="2">
        <v>6.90209302325581</v>
      </c>
      <c r="C591" s="1" t="s">
        <v>110</v>
      </c>
      <c r="D591" s="2">
        <v>0.898085980559174</v>
      </c>
      <c r="E591" s="2">
        <v>7.68533656316333</v>
      </c>
      <c r="F591" s="1" t="s">
        <v>400</v>
      </c>
      <c r="G591" s="2">
        <v>-1.69456803813426</v>
      </c>
      <c r="H591" s="2">
        <v>3.02474082288056</v>
      </c>
      <c r="I591" s="1">
        <v>1</v>
      </c>
    </row>
    <row r="592" spans="1:9">
      <c r="A592" s="1" t="s">
        <v>137</v>
      </c>
      <c r="B592" s="2">
        <v>0.619418604651162</v>
      </c>
      <c r="C592" s="1" t="s">
        <v>110</v>
      </c>
      <c r="D592" s="2">
        <v>0.898085980559174</v>
      </c>
      <c r="E592" s="2">
        <v>0.689709691565939</v>
      </c>
      <c r="F592" s="1" t="s">
        <v>399</v>
      </c>
      <c r="G592" s="2">
        <v>-1.69456803813426</v>
      </c>
      <c r="H592" s="2">
        <v>3.02474082288056</v>
      </c>
      <c r="I592" s="1">
        <v>1</v>
      </c>
    </row>
    <row r="593" spans="1:9">
      <c r="A593" s="1" t="s">
        <v>137</v>
      </c>
      <c r="B593" s="2">
        <v>8.49488372093023</v>
      </c>
      <c r="C593" s="1" t="s">
        <v>110</v>
      </c>
      <c r="D593" s="2">
        <v>0.898085980559174</v>
      </c>
      <c r="E593" s="2">
        <v>9.45887577004718</v>
      </c>
      <c r="F593" s="1" t="s">
        <v>400</v>
      </c>
      <c r="G593" s="2">
        <v>-1.69456803813426</v>
      </c>
      <c r="H593" s="2">
        <v>3.02474082288056</v>
      </c>
      <c r="I593" s="1">
        <v>1</v>
      </c>
    </row>
    <row r="594" spans="1:9">
      <c r="A594" s="1" t="s">
        <v>137</v>
      </c>
      <c r="B594" s="2">
        <v>20.6253642384106</v>
      </c>
      <c r="C594" s="1" t="s">
        <v>110</v>
      </c>
      <c r="D594" s="2">
        <v>0.898085980559174</v>
      </c>
      <c r="E594" s="2">
        <v>22.9659127131332</v>
      </c>
      <c r="F594" s="1" t="s">
        <v>400</v>
      </c>
      <c r="G594" s="2">
        <v>-1.69456803813426</v>
      </c>
      <c r="H594" s="2">
        <v>3.02474082288056</v>
      </c>
      <c r="I594" s="1">
        <v>1</v>
      </c>
    </row>
    <row r="595" spans="1:9">
      <c r="A595" s="1" t="s">
        <v>137</v>
      </c>
      <c r="B595" s="2">
        <v>0.81523178807947</v>
      </c>
      <c r="C595" s="1" t="s">
        <v>110</v>
      </c>
      <c r="D595" s="2">
        <v>0.898085980559174</v>
      </c>
      <c r="E595" s="2">
        <v>0.907743585499334</v>
      </c>
      <c r="F595" s="1" t="s">
        <v>399</v>
      </c>
      <c r="G595" s="2">
        <v>-1.69456803813426</v>
      </c>
      <c r="H595" s="2">
        <v>3.02474082288056</v>
      </c>
      <c r="I595" s="1">
        <v>1</v>
      </c>
    </row>
    <row r="596" spans="1:9">
      <c r="A596" s="1" t="s">
        <v>137</v>
      </c>
      <c r="B596" s="2">
        <v>0.489139072847682</v>
      </c>
      <c r="C596" s="1" t="s">
        <v>110</v>
      </c>
      <c r="D596" s="2">
        <v>0.898085980559174</v>
      </c>
      <c r="E596" s="2">
        <v>0.544646151299601</v>
      </c>
      <c r="F596" s="1" t="s">
        <v>399</v>
      </c>
      <c r="G596" s="2">
        <v>-1.69456803813426</v>
      </c>
      <c r="H596" s="2">
        <v>3.02474082288056</v>
      </c>
      <c r="I596" s="1">
        <v>1</v>
      </c>
    </row>
    <row r="597" spans="1:9">
      <c r="A597" s="1" t="s">
        <v>137</v>
      </c>
      <c r="B597" s="2">
        <v>2.403</v>
      </c>
      <c r="C597" s="1" t="s">
        <v>110</v>
      </c>
      <c r="D597" s="2">
        <v>0.898085980559174</v>
      </c>
      <c r="E597" s="2">
        <v>2.6756903592948</v>
      </c>
      <c r="F597" s="1" t="s">
        <v>399</v>
      </c>
      <c r="G597" s="2">
        <v>-1.69456803813426</v>
      </c>
      <c r="H597" s="2">
        <v>3.02474082288056</v>
      </c>
      <c r="I597" s="1">
        <v>1</v>
      </c>
    </row>
    <row r="598" spans="1:9">
      <c r="A598" s="1" t="s">
        <v>137</v>
      </c>
      <c r="B598" s="2">
        <v>1.72285714285714</v>
      </c>
      <c r="C598" s="1" t="s">
        <v>110</v>
      </c>
      <c r="D598" s="2">
        <v>0.898085980559174</v>
      </c>
      <c r="E598" s="2">
        <v>1.91836547964421</v>
      </c>
      <c r="F598" s="1" t="s">
        <v>399</v>
      </c>
      <c r="G598" s="2">
        <v>-1.69456803813426</v>
      </c>
      <c r="H598" s="2">
        <v>3.02474082288056</v>
      </c>
      <c r="I598" s="1">
        <v>1</v>
      </c>
    </row>
    <row r="599" spans="1:9">
      <c r="A599" s="1" t="s">
        <v>137</v>
      </c>
      <c r="B599" s="2">
        <v>0.957142857142857</v>
      </c>
      <c r="C599" s="1" t="s">
        <v>110</v>
      </c>
      <c r="D599" s="2">
        <v>0.898085980559174</v>
      </c>
      <c r="E599" s="2">
        <v>1.06575859980234</v>
      </c>
      <c r="F599" s="1" t="s">
        <v>399</v>
      </c>
      <c r="G599" s="2">
        <v>-1.69456803813426</v>
      </c>
      <c r="H599" s="2">
        <v>3.02474082288056</v>
      </c>
      <c r="I599" s="1">
        <v>1</v>
      </c>
    </row>
    <row r="600" spans="1:9">
      <c r="A600" s="1" t="s">
        <v>137</v>
      </c>
      <c r="B600" s="2">
        <v>1</v>
      </c>
      <c r="C600" s="1" t="s">
        <v>110</v>
      </c>
      <c r="D600" s="2">
        <v>0.898085980559174</v>
      </c>
      <c r="E600" s="2">
        <v>1.11347913412185</v>
      </c>
      <c r="F600" s="1" t="s">
        <v>399</v>
      </c>
      <c r="G600" s="2">
        <v>-1.69456803813426</v>
      </c>
      <c r="H600" s="2">
        <v>3.02474082288056</v>
      </c>
      <c r="I600" s="1">
        <v>1</v>
      </c>
    </row>
    <row r="601" spans="1:9">
      <c r="A601" s="1" t="s">
        <v>137</v>
      </c>
      <c r="B601" s="2">
        <v>0.1</v>
      </c>
      <c r="C601" s="1" t="s">
        <v>110</v>
      </c>
      <c r="D601" s="2">
        <v>0.898085980559174</v>
      </c>
      <c r="E601" s="2">
        <v>0.111347913412185</v>
      </c>
      <c r="F601" s="1" t="s">
        <v>399</v>
      </c>
      <c r="G601" s="2">
        <v>-1.69456803813426</v>
      </c>
      <c r="H601" s="2">
        <v>3.02474082288056</v>
      </c>
      <c r="I601" s="1">
        <v>1</v>
      </c>
    </row>
    <row r="602" spans="1:9">
      <c r="A602" s="1" t="s">
        <v>137</v>
      </c>
      <c r="B602" s="2">
        <v>0.1</v>
      </c>
      <c r="C602" s="1" t="s">
        <v>110</v>
      </c>
      <c r="D602" s="2">
        <v>0.898085980559174</v>
      </c>
      <c r="E602" s="2">
        <v>0.111347913412185</v>
      </c>
      <c r="F602" s="1" t="s">
        <v>399</v>
      </c>
      <c r="G602" s="2">
        <v>-1.69456803813426</v>
      </c>
      <c r="H602" s="2">
        <v>3.02474082288056</v>
      </c>
      <c r="I602" s="1">
        <v>1</v>
      </c>
    </row>
    <row r="603" spans="1:9">
      <c r="A603" s="1" t="s">
        <v>137</v>
      </c>
      <c r="B603" s="2">
        <v>0.3</v>
      </c>
      <c r="C603" s="1" t="s">
        <v>110</v>
      </c>
      <c r="D603" s="2">
        <v>0.898085980559174</v>
      </c>
      <c r="E603" s="2">
        <v>0.334043740236554</v>
      </c>
      <c r="F603" s="1" t="s">
        <v>399</v>
      </c>
      <c r="G603" s="2">
        <v>-1.69456803813426</v>
      </c>
      <c r="H603" s="2">
        <v>3.02474082288056</v>
      </c>
      <c r="I603" s="1">
        <v>1</v>
      </c>
    </row>
    <row r="604" spans="1:9">
      <c r="A604" s="1" t="s">
        <v>137</v>
      </c>
      <c r="B604" s="2">
        <v>0.837209302325581</v>
      </c>
      <c r="C604" s="1" t="s">
        <v>110</v>
      </c>
      <c r="D604" s="2">
        <v>0.898085980559174</v>
      </c>
      <c r="E604" s="2">
        <v>0.932215089032244</v>
      </c>
      <c r="F604" s="1" t="s">
        <v>399</v>
      </c>
      <c r="G604" s="2">
        <v>-1.69456803813426</v>
      </c>
      <c r="H604" s="2">
        <v>3.02474082288056</v>
      </c>
      <c r="I604" s="1">
        <v>1</v>
      </c>
    </row>
    <row r="605" spans="1:9">
      <c r="A605" s="1" t="s">
        <v>137</v>
      </c>
      <c r="B605" s="2">
        <v>0.802325581395349</v>
      </c>
      <c r="C605" s="1" t="s">
        <v>110</v>
      </c>
      <c r="D605" s="2">
        <v>0.898085980559174</v>
      </c>
      <c r="E605" s="2">
        <v>0.893372793655902</v>
      </c>
      <c r="F605" s="1" t="s">
        <v>399</v>
      </c>
      <c r="G605" s="2">
        <v>-1.69456803813426</v>
      </c>
      <c r="H605" s="2">
        <v>3.02474082288056</v>
      </c>
      <c r="I605" s="1">
        <v>1</v>
      </c>
    </row>
    <row r="606" spans="1:9">
      <c r="A606" s="1" t="s">
        <v>137</v>
      </c>
      <c r="B606" s="2">
        <v>0.13953488372093</v>
      </c>
      <c r="C606" s="1" t="s">
        <v>110</v>
      </c>
      <c r="D606" s="2">
        <v>0.898085980559174</v>
      </c>
      <c r="E606" s="2">
        <v>0.155369181505374</v>
      </c>
      <c r="F606" s="1" t="s">
        <v>399</v>
      </c>
      <c r="G606" s="2">
        <v>-1.69456803813426</v>
      </c>
      <c r="H606" s="2">
        <v>3.02474082288056</v>
      </c>
      <c r="I606" s="1">
        <v>1</v>
      </c>
    </row>
    <row r="607" spans="1:9">
      <c r="A607" s="1" t="s">
        <v>137</v>
      </c>
      <c r="B607" s="2">
        <v>0.102136363636364</v>
      </c>
      <c r="C607" s="1" t="s">
        <v>114</v>
      </c>
      <c r="D607" s="2">
        <v>0.898085980559174</v>
      </c>
      <c r="E607" s="2">
        <v>0.102136363636364</v>
      </c>
      <c r="F607" s="1" t="s">
        <v>399</v>
      </c>
      <c r="G607" s="2">
        <v>-1.69456803813426</v>
      </c>
      <c r="H607" s="2">
        <v>3.02474082288056</v>
      </c>
      <c r="I607" s="1">
        <v>1</v>
      </c>
    </row>
    <row r="608" spans="1:9">
      <c r="A608" s="1" t="s">
        <v>137</v>
      </c>
      <c r="B608" s="2">
        <v>0.217138</v>
      </c>
      <c r="C608" s="1" t="s">
        <v>110</v>
      </c>
      <c r="D608" s="2">
        <v>0.898085980559174</v>
      </c>
      <c r="E608" s="2">
        <v>0.24177863222495</v>
      </c>
      <c r="F608" s="1" t="s">
        <v>399</v>
      </c>
      <c r="G608" s="2">
        <v>-1.69456803813426</v>
      </c>
      <c r="H608" s="2">
        <v>3.02474082288056</v>
      </c>
      <c r="I608" s="1">
        <v>1</v>
      </c>
    </row>
    <row r="609" spans="1:9">
      <c r="A609" s="1" t="s">
        <v>137</v>
      </c>
      <c r="B609" s="2">
        <v>0.229264</v>
      </c>
      <c r="C609" s="1" t="s">
        <v>110</v>
      </c>
      <c r="D609" s="2">
        <v>0.898085980559174</v>
      </c>
      <c r="E609" s="2">
        <v>0.255280680205311</v>
      </c>
      <c r="F609" s="1" t="s">
        <v>399</v>
      </c>
      <c r="G609" s="2">
        <v>-1.69456803813426</v>
      </c>
      <c r="H609" s="2">
        <v>3.02474082288056</v>
      </c>
      <c r="I609" s="1">
        <v>1</v>
      </c>
    </row>
    <row r="610" spans="1:9">
      <c r="A610" s="1" t="s">
        <v>137</v>
      </c>
      <c r="B610" s="2">
        <v>0.05655</v>
      </c>
      <c r="C610" s="1" t="s">
        <v>110</v>
      </c>
      <c r="D610" s="2">
        <v>0.898085980559174</v>
      </c>
      <c r="E610" s="2">
        <v>0.0629672450345905</v>
      </c>
      <c r="F610" s="1" t="s">
        <v>399</v>
      </c>
      <c r="G610" s="2">
        <v>-1.69456803813426</v>
      </c>
      <c r="H610" s="2">
        <v>3.02474082288056</v>
      </c>
      <c r="I610" s="1">
        <v>1</v>
      </c>
    </row>
    <row r="611" spans="1:9">
      <c r="A611" s="1" t="s">
        <v>137</v>
      </c>
      <c r="B611" s="2">
        <v>1.76</v>
      </c>
      <c r="C611" s="1" t="s">
        <v>114</v>
      </c>
      <c r="D611" s="2">
        <v>0.898085980559174</v>
      </c>
      <c r="E611" s="2">
        <v>1.76</v>
      </c>
      <c r="F611" s="1" t="s">
        <v>399</v>
      </c>
      <c r="G611" s="2">
        <v>-1.69456803813426</v>
      </c>
      <c r="H611" s="2">
        <v>3.02474082288056</v>
      </c>
      <c r="I611" s="1">
        <v>1</v>
      </c>
    </row>
    <row r="612" spans="1:9">
      <c r="A612" s="1" t="s">
        <v>137</v>
      </c>
      <c r="B612" s="2">
        <v>1.49</v>
      </c>
      <c r="C612" s="1" t="s">
        <v>114</v>
      </c>
      <c r="D612" s="2">
        <v>0.898085980559174</v>
      </c>
      <c r="E612" s="2">
        <v>1.49</v>
      </c>
      <c r="F612" s="1" t="s">
        <v>399</v>
      </c>
      <c r="G612" s="2">
        <v>-1.69456803813426</v>
      </c>
      <c r="H612" s="2">
        <v>3.02474082288056</v>
      </c>
      <c r="I612" s="1">
        <v>1</v>
      </c>
    </row>
    <row r="613" spans="1:9">
      <c r="A613" s="1" t="s">
        <v>137</v>
      </c>
      <c r="B613" s="2">
        <v>2</v>
      </c>
      <c r="C613" s="1" t="s">
        <v>114</v>
      </c>
      <c r="D613" s="2">
        <v>0.898085980559174</v>
      </c>
      <c r="E613" s="2">
        <v>2</v>
      </c>
      <c r="F613" s="1" t="s">
        <v>399</v>
      </c>
      <c r="G613" s="2">
        <v>-1.69456803813426</v>
      </c>
      <c r="H613" s="2">
        <v>3.02474082288056</v>
      </c>
      <c r="I613" s="1">
        <v>1</v>
      </c>
    </row>
    <row r="614" spans="1:9">
      <c r="A614" s="1" t="s">
        <v>137</v>
      </c>
      <c r="B614" s="2">
        <v>1.76</v>
      </c>
      <c r="C614" s="1" t="s">
        <v>114</v>
      </c>
      <c r="D614" s="2">
        <v>0.898085980559174</v>
      </c>
      <c r="E614" s="2">
        <v>1.76</v>
      </c>
      <c r="F614" s="1" t="s">
        <v>399</v>
      </c>
      <c r="G614" s="2">
        <v>-1.69456803813426</v>
      </c>
      <c r="H614" s="2">
        <v>3.02474082288056</v>
      </c>
      <c r="I614" s="1">
        <v>1</v>
      </c>
    </row>
    <row r="615" spans="1:9">
      <c r="A615" s="1" t="s">
        <v>137</v>
      </c>
      <c r="B615" s="2">
        <v>1.55</v>
      </c>
      <c r="C615" s="1" t="s">
        <v>114</v>
      </c>
      <c r="D615" s="2">
        <v>0.898085980559174</v>
      </c>
      <c r="E615" s="2">
        <v>1.55</v>
      </c>
      <c r="F615" s="1" t="s">
        <v>399</v>
      </c>
      <c r="G615" s="2">
        <v>-1.69456803813426</v>
      </c>
      <c r="H615" s="2">
        <v>3.02474082288056</v>
      </c>
      <c r="I615" s="1">
        <v>1</v>
      </c>
    </row>
    <row r="616" spans="1:9">
      <c r="A616" s="1" t="s">
        <v>137</v>
      </c>
      <c r="B616" s="2">
        <v>2.15</v>
      </c>
      <c r="C616" s="1" t="s">
        <v>114</v>
      </c>
      <c r="D616" s="2">
        <v>0.898085980559174</v>
      </c>
      <c r="E616" s="2">
        <v>2.15</v>
      </c>
      <c r="F616" s="1" t="s">
        <v>399</v>
      </c>
      <c r="G616" s="2">
        <v>-1.69456803813426</v>
      </c>
      <c r="H616" s="2">
        <v>3.02474082288056</v>
      </c>
      <c r="I616" s="1">
        <v>1</v>
      </c>
    </row>
    <row r="617" spans="1:9">
      <c r="A617" s="1" t="s">
        <v>137</v>
      </c>
      <c r="B617" s="2">
        <v>2.04</v>
      </c>
      <c r="C617" s="1" t="s">
        <v>114</v>
      </c>
      <c r="D617" s="2">
        <v>0.898085980559174</v>
      </c>
      <c r="E617" s="2">
        <v>2.04</v>
      </c>
      <c r="F617" s="1" t="s">
        <v>399</v>
      </c>
      <c r="G617" s="2">
        <v>-1.69456803813426</v>
      </c>
      <c r="H617" s="2">
        <v>3.02474082288056</v>
      </c>
      <c r="I617" s="1">
        <v>1</v>
      </c>
    </row>
    <row r="618" spans="1:9">
      <c r="A618" s="1" t="s">
        <v>137</v>
      </c>
      <c r="B618" s="2">
        <v>2.01</v>
      </c>
      <c r="C618" s="1" t="s">
        <v>114</v>
      </c>
      <c r="D618" s="2">
        <v>0.898085980559174</v>
      </c>
      <c r="E618" s="2">
        <v>2.01</v>
      </c>
      <c r="F618" s="1" t="s">
        <v>399</v>
      </c>
      <c r="G618" s="2">
        <v>-1.69456803813426</v>
      </c>
      <c r="H618" s="2">
        <v>3.02474082288056</v>
      </c>
      <c r="I618" s="1">
        <v>1</v>
      </c>
    </row>
    <row r="619" spans="1:9">
      <c r="A619" s="1" t="s">
        <v>137</v>
      </c>
      <c r="B619" s="2">
        <v>1.94</v>
      </c>
      <c r="C619" s="1" t="s">
        <v>114</v>
      </c>
      <c r="D619" s="2">
        <v>0.898085980559174</v>
      </c>
      <c r="E619" s="2">
        <v>1.94</v>
      </c>
      <c r="F619" s="1" t="s">
        <v>399</v>
      </c>
      <c r="G619" s="2">
        <v>-1.69456803813426</v>
      </c>
      <c r="H619" s="2">
        <v>3.02474082288056</v>
      </c>
      <c r="I619" s="1">
        <v>1</v>
      </c>
    </row>
    <row r="620" spans="1:9">
      <c r="A620" s="1" t="s">
        <v>137</v>
      </c>
      <c r="B620" s="2">
        <v>1.86</v>
      </c>
      <c r="C620" s="1" t="s">
        <v>114</v>
      </c>
      <c r="D620" s="2">
        <v>0.898085980559174</v>
      </c>
      <c r="E620" s="2">
        <v>1.86</v>
      </c>
      <c r="F620" s="1" t="s">
        <v>399</v>
      </c>
      <c r="G620" s="2">
        <v>-1.69456803813426</v>
      </c>
      <c r="H620" s="2">
        <v>3.02474082288056</v>
      </c>
      <c r="I620" s="1">
        <v>1</v>
      </c>
    </row>
    <row r="621" spans="1:9">
      <c r="A621" s="1" t="s">
        <v>137</v>
      </c>
      <c r="B621" s="2">
        <v>2.84</v>
      </c>
      <c r="C621" s="1" t="s">
        <v>114</v>
      </c>
      <c r="D621" s="2">
        <v>0.898085980559174</v>
      </c>
      <c r="E621" s="2">
        <v>2.84</v>
      </c>
      <c r="F621" s="1" t="s">
        <v>399</v>
      </c>
      <c r="G621" s="2">
        <v>-1.69456803813426</v>
      </c>
      <c r="H621" s="2">
        <v>3.02474082288056</v>
      </c>
      <c r="I621" s="1">
        <v>1</v>
      </c>
    </row>
    <row r="622" spans="1:9">
      <c r="A622" s="1" t="s">
        <v>137</v>
      </c>
      <c r="B622" s="2">
        <v>1.55</v>
      </c>
      <c r="C622" s="1" t="s">
        <v>114</v>
      </c>
      <c r="D622" s="2">
        <v>0.898085980559174</v>
      </c>
      <c r="E622" s="2">
        <v>1.55</v>
      </c>
      <c r="F622" s="1" t="s">
        <v>399</v>
      </c>
      <c r="G622" s="2">
        <v>-1.69456803813426</v>
      </c>
      <c r="H622" s="2">
        <v>3.02474082288056</v>
      </c>
      <c r="I622" s="1">
        <v>1</v>
      </c>
    </row>
    <row r="623" spans="1:9">
      <c r="A623" s="1" t="s">
        <v>137</v>
      </c>
      <c r="B623" s="2">
        <v>2.05058695575865</v>
      </c>
      <c r="C623" s="1" t="s">
        <v>110</v>
      </c>
      <c r="D623" s="2">
        <v>0.898085980559174</v>
      </c>
      <c r="E623" s="2">
        <v>2.2832857879397</v>
      </c>
      <c r="F623" s="1" t="s">
        <v>399</v>
      </c>
      <c r="G623" s="2">
        <v>-1.69456803813426</v>
      </c>
      <c r="H623" s="2">
        <v>3.02474082288056</v>
      </c>
      <c r="I623" s="1">
        <v>1</v>
      </c>
    </row>
    <row r="624" spans="1:9">
      <c r="A624" s="1" t="s">
        <v>137</v>
      </c>
      <c r="B624" s="2">
        <v>10.6248410210479</v>
      </c>
      <c r="C624" s="1" t="s">
        <v>110</v>
      </c>
      <c r="D624" s="2">
        <v>0.898085980559174</v>
      </c>
      <c r="E624" s="2">
        <v>11.8305387802987</v>
      </c>
      <c r="F624" s="1" t="s">
        <v>400</v>
      </c>
      <c r="G624" s="2">
        <v>-1.69456803813426</v>
      </c>
      <c r="H624" s="2">
        <v>3.02474082288056</v>
      </c>
      <c r="I624" s="1">
        <v>1</v>
      </c>
    </row>
    <row r="625" spans="1:9">
      <c r="A625" s="1" t="s">
        <v>137</v>
      </c>
      <c r="B625" s="2">
        <v>1.55844155844156</v>
      </c>
      <c r="C625" s="1" t="s">
        <v>110</v>
      </c>
      <c r="D625" s="2">
        <v>0.898085980559174</v>
      </c>
      <c r="E625" s="2">
        <v>1.73529215707301</v>
      </c>
      <c r="F625" s="1" t="s">
        <v>399</v>
      </c>
      <c r="G625" s="2">
        <v>-1.69456803813426</v>
      </c>
      <c r="H625" s="2">
        <v>3.02474082288056</v>
      </c>
      <c r="I625" s="1">
        <v>1</v>
      </c>
    </row>
    <row r="626" spans="1:9">
      <c r="A626" s="1" t="s">
        <v>137</v>
      </c>
      <c r="B626" s="2">
        <v>2.38316046369738</v>
      </c>
      <c r="C626" s="1" t="s">
        <v>114</v>
      </c>
      <c r="D626" s="2">
        <v>0.898085980559174</v>
      </c>
      <c r="E626" s="2">
        <v>2.38316046369738</v>
      </c>
      <c r="F626" s="1" t="s">
        <v>399</v>
      </c>
      <c r="G626" s="2">
        <v>-1.69456803813426</v>
      </c>
      <c r="H626" s="2">
        <v>3.02474082288056</v>
      </c>
      <c r="I626" s="1">
        <v>1</v>
      </c>
    </row>
    <row r="627" spans="1:9">
      <c r="A627" s="1" t="s">
        <v>137</v>
      </c>
      <c r="B627" s="2">
        <v>0.0968121212121212</v>
      </c>
      <c r="C627" s="1" t="s">
        <v>110</v>
      </c>
      <c r="D627" s="2">
        <v>0.898085980559174</v>
      </c>
      <c r="E627" s="2">
        <v>0.107798276899772</v>
      </c>
      <c r="F627" s="1" t="s">
        <v>399</v>
      </c>
      <c r="G627" s="2">
        <v>-1.69456803813426</v>
      </c>
      <c r="H627" s="2">
        <v>3.02474082288056</v>
      </c>
      <c r="I627" s="1">
        <v>1</v>
      </c>
    </row>
    <row r="628" spans="1:9">
      <c r="A628" s="1" t="s">
        <v>137</v>
      </c>
      <c r="B628" s="2">
        <v>0.8</v>
      </c>
      <c r="C628" s="1" t="s">
        <v>110</v>
      </c>
      <c r="D628" s="2">
        <v>0.898085980559174</v>
      </c>
      <c r="E628" s="2">
        <v>0.890783307297479</v>
      </c>
      <c r="F628" s="1" t="s">
        <v>399</v>
      </c>
      <c r="G628" s="2">
        <v>-1.69456803813426</v>
      </c>
      <c r="H628" s="2">
        <v>3.02474082288056</v>
      </c>
      <c r="I628" s="1">
        <v>1</v>
      </c>
    </row>
    <row r="629" spans="1:9">
      <c r="A629" s="1" t="s">
        <v>137</v>
      </c>
      <c r="B629" s="2">
        <v>0.056</v>
      </c>
      <c r="C629" s="1" t="s">
        <v>110</v>
      </c>
      <c r="D629" s="2">
        <v>0.898085980559174</v>
      </c>
      <c r="E629" s="2">
        <v>0.0623548315108235</v>
      </c>
      <c r="F629" s="1" t="s">
        <v>399</v>
      </c>
      <c r="G629" s="2">
        <v>-1.69456803813426</v>
      </c>
      <c r="H629" s="2">
        <v>3.02474082288056</v>
      </c>
      <c r="I629" s="1">
        <v>1</v>
      </c>
    </row>
    <row r="630" spans="1:9">
      <c r="A630" s="1" t="s">
        <v>137</v>
      </c>
      <c r="B630" s="2">
        <v>0.041</v>
      </c>
      <c r="C630" s="1" t="s">
        <v>110</v>
      </c>
      <c r="D630" s="2">
        <v>0.898085980559174</v>
      </c>
      <c r="E630" s="2">
        <v>0.0456526444989958</v>
      </c>
      <c r="F630" s="1" t="s">
        <v>399</v>
      </c>
      <c r="G630" s="2">
        <v>-1.69456803813426</v>
      </c>
      <c r="H630" s="2">
        <v>3.02474082288056</v>
      </c>
      <c r="I630" s="1">
        <v>1</v>
      </c>
    </row>
    <row r="631" spans="1:9">
      <c r="A631" s="1" t="s">
        <v>137</v>
      </c>
      <c r="B631" s="2">
        <v>0.02</v>
      </c>
      <c r="C631" s="1" t="s">
        <v>110</v>
      </c>
      <c r="D631" s="2">
        <v>0.898085980559174</v>
      </c>
      <c r="E631" s="2">
        <v>0.022269582682437</v>
      </c>
      <c r="F631" s="1" t="s">
        <v>399</v>
      </c>
      <c r="G631" s="2">
        <v>-1.69456803813426</v>
      </c>
      <c r="H631" s="2">
        <v>3.02474082288056</v>
      </c>
      <c r="I631" s="1">
        <v>1</v>
      </c>
    </row>
    <row r="632" spans="1:9">
      <c r="A632" s="1" t="s">
        <v>137</v>
      </c>
      <c r="B632" s="2">
        <v>0.013</v>
      </c>
      <c r="C632" s="1" t="s">
        <v>110</v>
      </c>
      <c r="D632" s="2">
        <v>0.898085980559174</v>
      </c>
      <c r="E632" s="2">
        <v>0.014475228743584</v>
      </c>
      <c r="F632" s="1" t="s">
        <v>399</v>
      </c>
      <c r="G632" s="2">
        <v>-1.69456803813426</v>
      </c>
      <c r="H632" s="2">
        <v>3.02474082288056</v>
      </c>
      <c r="I632" s="1">
        <v>1</v>
      </c>
    </row>
    <row r="633" spans="1:9">
      <c r="A633" s="1" t="s">
        <v>137</v>
      </c>
      <c r="B633" s="2">
        <v>0.012</v>
      </c>
      <c r="C633" s="1" t="s">
        <v>110</v>
      </c>
      <c r="D633" s="2">
        <v>0.898085980559174</v>
      </c>
      <c r="E633" s="2">
        <v>0.0133617496094622</v>
      </c>
      <c r="F633" s="1" t="s">
        <v>399</v>
      </c>
      <c r="G633" s="2">
        <v>-1.69456803813426</v>
      </c>
      <c r="H633" s="2">
        <v>3.02474082288056</v>
      </c>
      <c r="I633" s="1">
        <v>1</v>
      </c>
    </row>
    <row r="634" spans="1:9">
      <c r="A634" s="1" t="s">
        <v>137</v>
      </c>
      <c r="B634" s="2">
        <v>0.585454545454545</v>
      </c>
      <c r="C634" s="1" t="s">
        <v>114</v>
      </c>
      <c r="D634" s="2">
        <v>0.898085980559174</v>
      </c>
      <c r="E634" s="2">
        <v>0.585454545454545</v>
      </c>
      <c r="F634" s="1" t="s">
        <v>399</v>
      </c>
      <c r="G634" s="2">
        <v>-1.69456803813426</v>
      </c>
      <c r="H634" s="2">
        <v>3.02474082288056</v>
      </c>
      <c r="I634" s="1">
        <v>1</v>
      </c>
    </row>
    <row r="635" spans="1:9">
      <c r="A635" s="1" t="s">
        <v>137</v>
      </c>
      <c r="B635" s="2">
        <v>0.0167490909090909</v>
      </c>
      <c r="C635" s="1" t="s">
        <v>110</v>
      </c>
      <c r="D635" s="2">
        <v>0.898085980559174</v>
      </c>
      <c r="E635" s="2">
        <v>0.0186497632427827</v>
      </c>
      <c r="F635" s="1" t="s">
        <v>399</v>
      </c>
      <c r="G635" s="2">
        <v>-1.69456803813426</v>
      </c>
      <c r="H635" s="2">
        <v>3.02474082288056</v>
      </c>
      <c r="I635" s="1">
        <v>1</v>
      </c>
    </row>
    <row r="636" spans="1:9">
      <c r="A636" s="1" t="s">
        <v>137</v>
      </c>
      <c r="B636" s="2">
        <v>0.00140967272727273</v>
      </c>
      <c r="C636" s="1" t="s">
        <v>110</v>
      </c>
      <c r="D636" s="2">
        <v>0.898085980559174</v>
      </c>
      <c r="E636" s="2">
        <v>0.00156964116775882</v>
      </c>
      <c r="F636" s="1" t="s">
        <v>399</v>
      </c>
      <c r="G636" s="2">
        <v>-1.69456803813426</v>
      </c>
      <c r="H636" s="2">
        <v>3.02474082288056</v>
      </c>
      <c r="I636" s="1">
        <v>1</v>
      </c>
    </row>
    <row r="637" spans="1:9">
      <c r="A637" s="1" t="s">
        <v>137</v>
      </c>
      <c r="B637" s="2">
        <v>0.09856</v>
      </c>
      <c r="C637" s="1" t="s">
        <v>110</v>
      </c>
      <c r="D637" s="2">
        <v>0.898085980559174</v>
      </c>
      <c r="E637" s="2">
        <v>0.109744503459049</v>
      </c>
      <c r="F637" s="1" t="s">
        <v>399</v>
      </c>
      <c r="G637" s="2">
        <v>-1.69456803813426</v>
      </c>
      <c r="H637" s="2">
        <v>3.02474082288056</v>
      </c>
      <c r="I637" s="1">
        <v>1</v>
      </c>
    </row>
    <row r="638" spans="1:9">
      <c r="A638" s="1" t="s">
        <v>137</v>
      </c>
      <c r="B638" s="2">
        <v>0.000105477272727273</v>
      </c>
      <c r="C638" s="1" t="s">
        <v>110</v>
      </c>
      <c r="D638" s="2">
        <v>0.898085980559174</v>
      </c>
      <c r="E638" s="2">
        <v>0.000117446742305898</v>
      </c>
      <c r="F638" s="1" t="s">
        <v>399</v>
      </c>
      <c r="G638" s="2">
        <v>-1.69456803813426</v>
      </c>
      <c r="H638" s="2">
        <v>3.02474082288056</v>
      </c>
      <c r="I638" s="1">
        <v>1</v>
      </c>
    </row>
    <row r="639" spans="1:9">
      <c r="A639" s="1" t="s">
        <v>137</v>
      </c>
      <c r="B639" s="2">
        <v>0.0703181818181818</v>
      </c>
      <c r="C639" s="1" t="s">
        <v>110</v>
      </c>
      <c r="D639" s="2">
        <v>0.898085980559174</v>
      </c>
      <c r="E639" s="2">
        <v>0.0782978282039317</v>
      </c>
      <c r="F639" s="1" t="s">
        <v>399</v>
      </c>
      <c r="G639" s="2">
        <v>-1.69456803813426</v>
      </c>
      <c r="H639" s="2">
        <v>3.02474082288056</v>
      </c>
      <c r="I639" s="1">
        <v>1</v>
      </c>
    </row>
    <row r="640" spans="1:9">
      <c r="A640" s="1" t="s">
        <v>137</v>
      </c>
      <c r="B640" s="2">
        <v>0.12488</v>
      </c>
      <c r="C640" s="1" t="s">
        <v>110</v>
      </c>
      <c r="D640" s="2">
        <v>0.898085980559174</v>
      </c>
      <c r="E640" s="2">
        <v>0.139051274269136</v>
      </c>
      <c r="F640" s="1" t="s">
        <v>399</v>
      </c>
      <c r="G640" s="2">
        <v>-1.69456803813426</v>
      </c>
      <c r="H640" s="2">
        <v>3.02474082288056</v>
      </c>
      <c r="I640" s="1">
        <v>1</v>
      </c>
    </row>
    <row r="641" spans="1:9">
      <c r="A641" s="1" t="s">
        <v>137</v>
      </c>
      <c r="B641" s="2">
        <v>0.3248</v>
      </c>
      <c r="C641" s="1" t="s">
        <v>110</v>
      </c>
      <c r="D641" s="2">
        <v>0.898085980559174</v>
      </c>
      <c r="E641" s="2">
        <v>0.361658022762776</v>
      </c>
      <c r="F641" s="1" t="s">
        <v>399</v>
      </c>
      <c r="G641" s="2">
        <v>-1.69456803813426</v>
      </c>
      <c r="H641" s="2">
        <v>3.02474082288056</v>
      </c>
      <c r="I641" s="1">
        <v>1</v>
      </c>
    </row>
    <row r="642" spans="1:9">
      <c r="A642" s="1" t="s">
        <v>137</v>
      </c>
      <c r="B642" s="2">
        <v>0.13216</v>
      </c>
      <c r="C642" s="1" t="s">
        <v>110</v>
      </c>
      <c r="D642" s="2">
        <v>0.898085980559174</v>
      </c>
      <c r="E642" s="2">
        <v>0.147157402365543</v>
      </c>
      <c r="F642" s="1" t="s">
        <v>399</v>
      </c>
      <c r="G642" s="2">
        <v>-1.69456803813426</v>
      </c>
      <c r="H642" s="2">
        <v>3.02474082288056</v>
      </c>
      <c r="I642" s="1">
        <v>1</v>
      </c>
    </row>
    <row r="643" spans="1:9">
      <c r="A643" s="1" t="s">
        <v>137</v>
      </c>
      <c r="B643" s="2">
        <v>0.233634545454545</v>
      </c>
      <c r="C643" s="1" t="s">
        <v>110</v>
      </c>
      <c r="D643" s="2">
        <v>0.898085980559174</v>
      </c>
      <c r="E643" s="2">
        <v>0.260147191373678</v>
      </c>
      <c r="F643" s="1" t="s">
        <v>399</v>
      </c>
      <c r="G643" s="2">
        <v>-1.69456803813426</v>
      </c>
      <c r="H643" s="2">
        <v>3.02474082288056</v>
      </c>
      <c r="I643" s="1">
        <v>1</v>
      </c>
    </row>
    <row r="644" spans="1:9">
      <c r="A644" s="1" t="s">
        <v>137</v>
      </c>
      <c r="B644" s="2">
        <v>0.16352</v>
      </c>
      <c r="C644" s="1" t="s">
        <v>110</v>
      </c>
      <c r="D644" s="2">
        <v>0.898085980559174</v>
      </c>
      <c r="E644" s="2">
        <v>0.182076108011605</v>
      </c>
      <c r="F644" s="1" t="s">
        <v>399</v>
      </c>
      <c r="G644" s="2">
        <v>-1.69456803813426</v>
      </c>
      <c r="H644" s="2">
        <v>3.02474082288056</v>
      </c>
      <c r="I644" s="1">
        <v>1</v>
      </c>
    </row>
    <row r="645" spans="1:9">
      <c r="A645" s="1" t="s">
        <v>137</v>
      </c>
      <c r="B645" s="2">
        <v>0.00229912023460411</v>
      </c>
      <c r="C645" s="1" t="s">
        <v>110</v>
      </c>
      <c r="D645" s="2">
        <v>0.898085980559174</v>
      </c>
      <c r="E645" s="2">
        <v>0.00256002240806901</v>
      </c>
      <c r="F645" s="1" t="s">
        <v>399</v>
      </c>
      <c r="G645" s="2">
        <v>-1.69456803813426</v>
      </c>
      <c r="H645" s="2">
        <v>3.02474082288056</v>
      </c>
      <c r="I645" s="1">
        <v>1</v>
      </c>
    </row>
    <row r="646" spans="1:9">
      <c r="A646" s="1" t="s">
        <v>137</v>
      </c>
      <c r="B646" s="2">
        <v>0.0879732165851146</v>
      </c>
      <c r="C646" s="1" t="s">
        <v>114</v>
      </c>
      <c r="D646" s="2">
        <v>0.898085980559174</v>
      </c>
      <c r="E646" s="2">
        <v>0.0879732165851146</v>
      </c>
      <c r="F646" s="1" t="s">
        <v>399</v>
      </c>
      <c r="G646" s="2">
        <v>-1.69456803813426</v>
      </c>
      <c r="H646" s="2">
        <v>3.02474082288056</v>
      </c>
      <c r="I646" s="1">
        <v>1</v>
      </c>
    </row>
    <row r="647" spans="1:9">
      <c r="A647" s="1" t="s">
        <v>137</v>
      </c>
      <c r="B647" s="2">
        <v>0.0571465361833634</v>
      </c>
      <c r="C647" s="1" t="s">
        <v>114</v>
      </c>
      <c r="D647" s="2">
        <v>0.898085980559174</v>
      </c>
      <c r="E647" s="2">
        <v>0.0571465361833634</v>
      </c>
      <c r="F647" s="1" t="s">
        <v>399</v>
      </c>
      <c r="G647" s="2">
        <v>-1.69456803813426</v>
      </c>
      <c r="H647" s="2">
        <v>3.02474082288056</v>
      </c>
      <c r="I647" s="1">
        <v>1</v>
      </c>
    </row>
    <row r="648" spans="1:9">
      <c r="A648" s="1" t="s">
        <v>137</v>
      </c>
      <c r="B648" s="2">
        <v>0.217048673705898</v>
      </c>
      <c r="C648" s="1" t="s">
        <v>114</v>
      </c>
      <c r="D648" s="2">
        <v>0.898085980559174</v>
      </c>
      <c r="E648" s="2">
        <v>0.217048673705898</v>
      </c>
      <c r="F648" s="1" t="s">
        <v>399</v>
      </c>
      <c r="G648" s="2">
        <v>-1.69456803813426</v>
      </c>
      <c r="H648" s="2">
        <v>3.02474082288056</v>
      </c>
      <c r="I648" s="1">
        <v>1</v>
      </c>
    </row>
    <row r="649" spans="1:9">
      <c r="A649" s="1" t="s">
        <v>137</v>
      </c>
      <c r="B649" s="2">
        <v>0.153232037084728</v>
      </c>
      <c r="C649" s="1" t="s">
        <v>114</v>
      </c>
      <c r="D649" s="2">
        <v>0.898085980559174</v>
      </c>
      <c r="E649" s="2">
        <v>0.153232037084728</v>
      </c>
      <c r="F649" s="1" t="s">
        <v>399</v>
      </c>
      <c r="G649" s="2">
        <v>-1.69456803813426</v>
      </c>
      <c r="H649" s="2">
        <v>3.02474082288056</v>
      </c>
      <c r="I649" s="1">
        <v>1</v>
      </c>
    </row>
    <row r="650" spans="1:9">
      <c r="A650" s="1" t="s">
        <v>137</v>
      </c>
      <c r="B650" s="2">
        <v>0.0548021390374332</v>
      </c>
      <c r="C650" s="1" t="s">
        <v>114</v>
      </c>
      <c r="D650" s="2">
        <v>0.898085980559174</v>
      </c>
      <c r="E650" s="2">
        <v>0.0548021390374332</v>
      </c>
      <c r="F650" s="1" t="s">
        <v>399</v>
      </c>
      <c r="G650" s="2">
        <v>-1.69456803813426</v>
      </c>
      <c r="H650" s="2">
        <v>3.02474082288056</v>
      </c>
      <c r="I650" s="1">
        <v>1</v>
      </c>
    </row>
    <row r="651" spans="1:9">
      <c r="A651" s="1" t="s">
        <v>137</v>
      </c>
      <c r="B651" s="2">
        <v>0.0595935828877005</v>
      </c>
      <c r="C651" s="1" t="s">
        <v>114</v>
      </c>
      <c r="D651" s="2">
        <v>0.898085980559174</v>
      </c>
      <c r="E651" s="2">
        <v>0.0595935828877005</v>
      </c>
      <c r="F651" s="1" t="s">
        <v>399</v>
      </c>
      <c r="G651" s="2">
        <v>-1.69456803813426</v>
      </c>
      <c r="H651" s="2">
        <v>3.02474082288056</v>
      </c>
      <c r="I651" s="1">
        <v>1</v>
      </c>
    </row>
    <row r="652" spans="1:9">
      <c r="A652" s="1" t="s">
        <v>137</v>
      </c>
      <c r="B652" s="2">
        <v>1.19786096256685</v>
      </c>
      <c r="C652" s="1" t="s">
        <v>114</v>
      </c>
      <c r="D652" s="2">
        <v>0.898085980559174</v>
      </c>
      <c r="E652" s="2">
        <v>1.19786096256685</v>
      </c>
      <c r="F652" s="1" t="s">
        <v>399</v>
      </c>
      <c r="G652" s="2">
        <v>-1.69456803813426</v>
      </c>
      <c r="H652" s="2">
        <v>3.02474082288056</v>
      </c>
      <c r="I652" s="1">
        <v>1</v>
      </c>
    </row>
    <row r="653" spans="1:9">
      <c r="A653" s="1" t="s">
        <v>137</v>
      </c>
      <c r="B653" s="2">
        <v>0.172192513368984</v>
      </c>
      <c r="C653" s="1" t="s">
        <v>114</v>
      </c>
      <c r="D653" s="2">
        <v>0.898085980559174</v>
      </c>
      <c r="E653" s="2">
        <v>0.172192513368984</v>
      </c>
      <c r="F653" s="1" t="s">
        <v>399</v>
      </c>
      <c r="G653" s="2">
        <v>-1.69456803813426</v>
      </c>
      <c r="H653" s="2">
        <v>3.02474082288056</v>
      </c>
      <c r="I653" s="1">
        <v>1</v>
      </c>
    </row>
    <row r="654" spans="1:9">
      <c r="A654" s="1" t="s">
        <v>137</v>
      </c>
      <c r="B654" s="2">
        <v>0.121774784885896</v>
      </c>
      <c r="C654" s="1" t="s">
        <v>110</v>
      </c>
      <c r="D654" s="2">
        <v>0.898085980559174</v>
      </c>
      <c r="E654" s="2">
        <v>0.135593682032622</v>
      </c>
      <c r="F654" s="1" t="s">
        <v>399</v>
      </c>
      <c r="G654" s="2">
        <v>-1.69456803813426</v>
      </c>
      <c r="H654" s="2">
        <v>3.02474082288056</v>
      </c>
      <c r="I654" s="1">
        <v>1</v>
      </c>
    </row>
    <row r="655" spans="1:9">
      <c r="A655" s="1" t="s">
        <v>137</v>
      </c>
      <c r="B655" s="2">
        <v>0.105677233429395</v>
      </c>
      <c r="C655" s="1" t="s">
        <v>110</v>
      </c>
      <c r="D655" s="2">
        <v>0.898085980559174</v>
      </c>
      <c r="E655" s="2">
        <v>0.117669394375355</v>
      </c>
      <c r="F655" s="1" t="s">
        <v>399</v>
      </c>
      <c r="G655" s="2">
        <v>-1.69456803813426</v>
      </c>
      <c r="H655" s="2">
        <v>3.02474082288056</v>
      </c>
      <c r="I655" s="1">
        <v>1</v>
      </c>
    </row>
    <row r="656" spans="1:9">
      <c r="A656" s="1" t="s">
        <v>137</v>
      </c>
      <c r="B656" s="2">
        <v>3.5730407523511</v>
      </c>
      <c r="C656" s="1" t="s">
        <v>114</v>
      </c>
      <c r="D656" s="2">
        <v>0.898085980559174</v>
      </c>
      <c r="E656" s="2">
        <v>3.5730407523511</v>
      </c>
      <c r="F656" s="1" t="s">
        <v>400</v>
      </c>
      <c r="G656" s="2">
        <v>-1.69456803813426</v>
      </c>
      <c r="H656" s="2">
        <v>3.02474082288056</v>
      </c>
      <c r="I656" s="1">
        <v>1</v>
      </c>
    </row>
    <row r="657" spans="1:9">
      <c r="A657" s="1" t="s">
        <v>137</v>
      </c>
      <c r="B657" s="2">
        <v>0.3879</v>
      </c>
      <c r="C657" s="1" t="s">
        <v>114</v>
      </c>
      <c r="D657" s="2">
        <v>0.898085980559174</v>
      </c>
      <c r="E657" s="2">
        <v>0.3879</v>
      </c>
      <c r="F657" s="1" t="s">
        <v>399</v>
      </c>
      <c r="G657" s="2">
        <v>-1.69456803813426</v>
      </c>
      <c r="H657" s="2">
        <v>3.02474082288056</v>
      </c>
      <c r="I657" s="1">
        <v>1</v>
      </c>
    </row>
    <row r="658" spans="1:9">
      <c r="A658" s="1" t="s">
        <v>137</v>
      </c>
      <c r="B658" s="2">
        <v>4.4982</v>
      </c>
      <c r="C658" s="1" t="s">
        <v>114</v>
      </c>
      <c r="D658" s="2">
        <v>0.898085980559174</v>
      </c>
      <c r="E658" s="2">
        <v>4.4982</v>
      </c>
      <c r="F658" s="1" t="s">
        <v>400</v>
      </c>
      <c r="G658" s="2">
        <v>-1.69456803813426</v>
      </c>
      <c r="H658" s="2">
        <v>3.02474082288056</v>
      </c>
      <c r="I658" s="1">
        <v>1</v>
      </c>
    </row>
    <row r="659" spans="1:9">
      <c r="A659" s="1" t="s">
        <v>137</v>
      </c>
      <c r="B659" s="2">
        <v>0.332928</v>
      </c>
      <c r="C659" s="1" t="s">
        <v>114</v>
      </c>
      <c r="D659" s="2">
        <v>0.898085980559174</v>
      </c>
      <c r="E659" s="2">
        <v>0.332928</v>
      </c>
      <c r="F659" s="1" t="s">
        <v>399</v>
      </c>
      <c r="G659" s="2">
        <v>-1.69456803813426</v>
      </c>
      <c r="H659" s="2">
        <v>3.02474082288056</v>
      </c>
      <c r="I659" s="1">
        <v>1</v>
      </c>
    </row>
    <row r="660" spans="1:9">
      <c r="A660" s="1" t="s">
        <v>137</v>
      </c>
      <c r="B660" s="2">
        <v>0.038829</v>
      </c>
      <c r="C660" s="1" t="s">
        <v>114</v>
      </c>
      <c r="D660" s="2">
        <v>0.898085980559174</v>
      </c>
      <c r="E660" s="2">
        <v>0.038829</v>
      </c>
      <c r="F660" s="1" t="s">
        <v>399</v>
      </c>
      <c r="G660" s="2">
        <v>-1.69456803813426</v>
      </c>
      <c r="H660" s="2">
        <v>3.02474082288056</v>
      </c>
      <c r="I660" s="1">
        <v>1</v>
      </c>
    </row>
    <row r="661" spans="1:9">
      <c r="A661" s="1" t="s">
        <v>137</v>
      </c>
      <c r="B661" s="2">
        <v>0.054839</v>
      </c>
      <c r="C661" s="1" t="s">
        <v>114</v>
      </c>
      <c r="D661" s="2">
        <v>0.898085980559174</v>
      </c>
      <c r="E661" s="2">
        <v>0.054839</v>
      </c>
      <c r="F661" s="1" t="s">
        <v>399</v>
      </c>
      <c r="G661" s="2">
        <v>-1.69456803813426</v>
      </c>
      <c r="H661" s="2">
        <v>3.02474082288056</v>
      </c>
      <c r="I661" s="1">
        <v>1</v>
      </c>
    </row>
    <row r="662" spans="1:9">
      <c r="A662" s="1" t="s">
        <v>137</v>
      </c>
      <c r="B662" s="2">
        <v>0.0827272727272727</v>
      </c>
      <c r="C662" s="1" t="s">
        <v>110</v>
      </c>
      <c r="D662" s="2">
        <v>0.898085980559174</v>
      </c>
      <c r="E662" s="2">
        <v>0.0921150920046256</v>
      </c>
      <c r="F662" s="1" t="s">
        <v>399</v>
      </c>
      <c r="G662" s="2">
        <v>-1.69456803813426</v>
      </c>
      <c r="H662" s="2">
        <v>3.02474082288056</v>
      </c>
      <c r="I662" s="1">
        <v>1</v>
      </c>
    </row>
    <row r="663" spans="1:9">
      <c r="A663" s="1" t="s">
        <v>137</v>
      </c>
      <c r="B663" s="2">
        <v>0.0190909090909091</v>
      </c>
      <c r="C663" s="1" t="s">
        <v>110</v>
      </c>
      <c r="D663" s="2">
        <v>0.898085980559174</v>
      </c>
      <c r="E663" s="2">
        <v>0.0212573289241444</v>
      </c>
      <c r="F663" s="1" t="s">
        <v>399</v>
      </c>
      <c r="G663" s="2">
        <v>-1.69456803813426</v>
      </c>
      <c r="H663" s="2">
        <v>3.02474082288056</v>
      </c>
      <c r="I663" s="1">
        <v>1</v>
      </c>
    </row>
    <row r="664" spans="1:9">
      <c r="A664" s="1" t="s">
        <v>137</v>
      </c>
      <c r="B664" s="2">
        <v>0.0127272727272727</v>
      </c>
      <c r="C664" s="1" t="s">
        <v>110</v>
      </c>
      <c r="D664" s="2">
        <v>0.898085980559174</v>
      </c>
      <c r="E664" s="2">
        <v>0.0141715526160962</v>
      </c>
      <c r="F664" s="1" t="s">
        <v>399</v>
      </c>
      <c r="G664" s="2">
        <v>-1.69456803813426</v>
      </c>
      <c r="H664" s="2">
        <v>3.02474082288056</v>
      </c>
      <c r="I664" s="1">
        <v>1</v>
      </c>
    </row>
    <row r="665" spans="1:9">
      <c r="A665" s="1" t="s">
        <v>137</v>
      </c>
      <c r="B665" s="2">
        <v>0.0509090909090909</v>
      </c>
      <c r="C665" s="1" t="s">
        <v>110</v>
      </c>
      <c r="D665" s="2">
        <v>0.898085980559174</v>
      </c>
      <c r="E665" s="2">
        <v>0.056686210464385</v>
      </c>
      <c r="F665" s="1" t="s">
        <v>399</v>
      </c>
      <c r="G665" s="2">
        <v>-1.69456803813426</v>
      </c>
      <c r="H665" s="2">
        <v>3.02474082288056</v>
      </c>
      <c r="I665" s="1">
        <v>1</v>
      </c>
    </row>
    <row r="666" spans="1:9">
      <c r="A666" s="1" t="s">
        <v>137</v>
      </c>
      <c r="B666" s="2">
        <v>0.116</v>
      </c>
      <c r="C666" s="1" t="s">
        <v>110</v>
      </c>
      <c r="D666" s="2">
        <v>0.898085980559174</v>
      </c>
      <c r="E666" s="2">
        <v>0.129163579558134</v>
      </c>
      <c r="F666" s="1" t="s">
        <v>399</v>
      </c>
      <c r="G666" s="2">
        <v>-1.69456803813426</v>
      </c>
      <c r="H666" s="2">
        <v>3.02474082288056</v>
      </c>
      <c r="I666" s="1">
        <v>1</v>
      </c>
    </row>
    <row r="667" spans="1:9">
      <c r="A667" s="1" t="s">
        <v>137</v>
      </c>
      <c r="B667" s="2">
        <v>0.0103824480224779</v>
      </c>
      <c r="C667" s="1" t="s">
        <v>110</v>
      </c>
      <c r="D667" s="2">
        <v>0.898085980559174</v>
      </c>
      <c r="E667" s="2">
        <v>0.0115606392341338</v>
      </c>
      <c r="F667" s="1" t="s">
        <v>399</v>
      </c>
      <c r="G667" s="2">
        <v>-1.69456803813426</v>
      </c>
      <c r="H667" s="2">
        <v>3.02474082288056</v>
      </c>
      <c r="I667" s="1">
        <v>1</v>
      </c>
    </row>
    <row r="668" spans="1:9">
      <c r="A668" s="1" t="s">
        <v>137</v>
      </c>
      <c r="B668" s="2">
        <v>0.2</v>
      </c>
      <c r="C668" s="1" t="s">
        <v>114</v>
      </c>
      <c r="D668" s="2">
        <v>0.898085980559174</v>
      </c>
      <c r="E668" s="2">
        <v>0.2</v>
      </c>
      <c r="F668" s="1" t="s">
        <v>399</v>
      </c>
      <c r="G668" s="2">
        <v>-1.69456803813426</v>
      </c>
      <c r="H668" s="2">
        <v>3.02474082288056</v>
      </c>
      <c r="I668" s="1">
        <v>1</v>
      </c>
    </row>
    <row r="669" spans="1:9">
      <c r="A669" s="1" t="s">
        <v>137</v>
      </c>
      <c r="B669" s="2">
        <v>1</v>
      </c>
      <c r="C669" s="1" t="s">
        <v>114</v>
      </c>
      <c r="D669" s="2">
        <v>0.898085980559174</v>
      </c>
      <c r="E669" s="2">
        <v>1</v>
      </c>
      <c r="F669" s="1" t="s">
        <v>399</v>
      </c>
      <c r="G669" s="2">
        <v>-1.69456803813426</v>
      </c>
      <c r="H669" s="2">
        <v>3.02474082288056</v>
      </c>
      <c r="I669" s="1">
        <v>1</v>
      </c>
    </row>
    <row r="670" spans="1:9">
      <c r="A670" s="1" t="s">
        <v>137</v>
      </c>
      <c r="B670" s="2">
        <v>1.3</v>
      </c>
      <c r="C670" s="1" t="s">
        <v>114</v>
      </c>
      <c r="D670" s="2">
        <v>0.898085980559174</v>
      </c>
      <c r="E670" s="2">
        <v>1.3</v>
      </c>
      <c r="F670" s="1" t="s">
        <v>399</v>
      </c>
      <c r="G670" s="2">
        <v>-1.69456803813426</v>
      </c>
      <c r="H670" s="2">
        <v>3.02474082288056</v>
      </c>
      <c r="I670" s="1">
        <v>1</v>
      </c>
    </row>
    <row r="671" spans="1:9">
      <c r="A671" s="1" t="s">
        <v>137</v>
      </c>
      <c r="B671" s="2">
        <v>0.04</v>
      </c>
      <c r="C671" s="1" t="s">
        <v>114</v>
      </c>
      <c r="D671" s="2">
        <v>0.898085980559174</v>
      </c>
      <c r="E671" s="2">
        <v>0.04</v>
      </c>
      <c r="F671" s="1" t="s">
        <v>399</v>
      </c>
      <c r="G671" s="2">
        <v>-1.69456803813426</v>
      </c>
      <c r="H671" s="2">
        <v>3.02474082288056</v>
      </c>
      <c r="I671" s="1">
        <v>1</v>
      </c>
    </row>
    <row r="672" spans="1:9">
      <c r="A672" s="1" t="s">
        <v>137</v>
      </c>
      <c r="B672" s="2">
        <v>1.8</v>
      </c>
      <c r="C672" s="1" t="s">
        <v>114</v>
      </c>
      <c r="D672" s="2">
        <v>0.898085980559174</v>
      </c>
      <c r="E672" s="2">
        <v>1.8</v>
      </c>
      <c r="F672" s="1" t="s">
        <v>399</v>
      </c>
      <c r="G672" s="2">
        <v>-1.69456803813426</v>
      </c>
      <c r="H672" s="2">
        <v>3.02474082288056</v>
      </c>
      <c r="I672" s="1">
        <v>1</v>
      </c>
    </row>
    <row r="673" spans="1:9">
      <c r="A673" s="1" t="s">
        <v>137</v>
      </c>
      <c r="B673" s="2">
        <v>0.24</v>
      </c>
      <c r="C673" s="1" t="s">
        <v>114</v>
      </c>
      <c r="D673" s="2">
        <v>0.898085980559174</v>
      </c>
      <c r="E673" s="2">
        <v>0.24</v>
      </c>
      <c r="F673" s="1" t="s">
        <v>399</v>
      </c>
      <c r="G673" s="2">
        <v>-1.69456803813426</v>
      </c>
      <c r="H673" s="2">
        <v>3.02474082288056</v>
      </c>
      <c r="I673" s="1">
        <v>1</v>
      </c>
    </row>
    <row r="674" spans="1:9">
      <c r="A674" s="1" t="s">
        <v>137</v>
      </c>
      <c r="B674" s="2">
        <v>0.09</v>
      </c>
      <c r="C674" s="1" t="s">
        <v>114</v>
      </c>
      <c r="D674" s="2">
        <v>0.898085980559174</v>
      </c>
      <c r="E674" s="2">
        <v>0.09</v>
      </c>
      <c r="F674" s="1" t="s">
        <v>399</v>
      </c>
      <c r="G674" s="2">
        <v>-1.69456803813426</v>
      </c>
      <c r="H674" s="2">
        <v>3.02474082288056</v>
      </c>
      <c r="I674" s="1">
        <v>1</v>
      </c>
    </row>
    <row r="675" spans="1:9">
      <c r="A675" s="1" t="s">
        <v>137</v>
      </c>
      <c r="B675" s="2">
        <v>1.7</v>
      </c>
      <c r="C675" s="1" t="s">
        <v>114</v>
      </c>
      <c r="D675" s="2">
        <v>0.898085980559174</v>
      </c>
      <c r="E675" s="2">
        <v>1.7</v>
      </c>
      <c r="F675" s="1" t="s">
        <v>399</v>
      </c>
      <c r="G675" s="2">
        <v>-1.69456803813426</v>
      </c>
      <c r="H675" s="2">
        <v>3.02474082288056</v>
      </c>
      <c r="I675" s="1">
        <v>1</v>
      </c>
    </row>
    <row r="676" spans="1:9">
      <c r="A676" s="1" t="s">
        <v>137</v>
      </c>
      <c r="B676" s="2">
        <v>0.576297306175595</v>
      </c>
      <c r="C676" s="1" t="s">
        <v>110</v>
      </c>
      <c r="D676" s="2">
        <v>0.898085980559174</v>
      </c>
      <c r="E676" s="2">
        <v>0.641695025477155</v>
      </c>
      <c r="F676" s="1" t="s">
        <v>399</v>
      </c>
      <c r="G676" s="2">
        <v>-1.69456803813426</v>
      </c>
      <c r="H676" s="2">
        <v>3.02474082288056</v>
      </c>
      <c r="I676" s="1">
        <v>1</v>
      </c>
    </row>
    <row r="677" spans="1:9">
      <c r="A677" s="1" t="s">
        <v>137</v>
      </c>
      <c r="B677" s="2">
        <v>0.001</v>
      </c>
      <c r="C677" s="1" t="s">
        <v>110</v>
      </c>
      <c r="D677" s="2">
        <v>0.898085980559174</v>
      </c>
      <c r="E677" s="2">
        <v>0.00111347913412185</v>
      </c>
      <c r="F677" s="1" t="s">
        <v>399</v>
      </c>
      <c r="G677" s="2">
        <v>-1.69456803813426</v>
      </c>
      <c r="H677" s="2">
        <v>3.02474082288056</v>
      </c>
      <c r="I677" s="1">
        <v>1</v>
      </c>
    </row>
    <row r="678" spans="1:9">
      <c r="A678" s="1" t="s">
        <v>137</v>
      </c>
      <c r="B678" s="2">
        <v>0.005</v>
      </c>
      <c r="C678" s="1" t="s">
        <v>110</v>
      </c>
      <c r="D678" s="2">
        <v>0.898085980559174</v>
      </c>
      <c r="E678" s="2">
        <v>0.00556739567060924</v>
      </c>
      <c r="F678" s="1" t="s">
        <v>399</v>
      </c>
      <c r="G678" s="2">
        <v>-1.69456803813426</v>
      </c>
      <c r="H678" s="2">
        <v>3.02474082288056</v>
      </c>
      <c r="I678" s="1">
        <v>1</v>
      </c>
    </row>
    <row r="679" spans="1:9">
      <c r="A679" s="1" t="s">
        <v>137</v>
      </c>
      <c r="B679" s="2">
        <v>1.95</v>
      </c>
      <c r="C679" s="1" t="s">
        <v>114</v>
      </c>
      <c r="D679" s="2">
        <v>0.898085980559174</v>
      </c>
      <c r="E679" s="2">
        <v>1.95</v>
      </c>
      <c r="F679" s="1" t="s">
        <v>399</v>
      </c>
      <c r="G679" s="2">
        <v>-1.69456803813426</v>
      </c>
      <c r="H679" s="2">
        <v>3.02474082288056</v>
      </c>
      <c r="I679" s="1">
        <v>1</v>
      </c>
    </row>
    <row r="680" spans="1:9">
      <c r="A680" s="1" t="s">
        <v>137</v>
      </c>
      <c r="B680" s="2">
        <v>1.6</v>
      </c>
      <c r="C680" s="1" t="s">
        <v>114</v>
      </c>
      <c r="D680" s="2">
        <v>0.898085980559174</v>
      </c>
      <c r="E680" s="2">
        <v>1.6</v>
      </c>
      <c r="F680" s="1" t="s">
        <v>399</v>
      </c>
      <c r="G680" s="2">
        <v>-1.69456803813426</v>
      </c>
      <c r="H680" s="2">
        <v>3.02474082288056</v>
      </c>
      <c r="I680" s="1">
        <v>1</v>
      </c>
    </row>
    <row r="681" spans="1:9">
      <c r="A681" s="1" t="s">
        <v>137</v>
      </c>
      <c r="B681" s="2">
        <v>0.97</v>
      </c>
      <c r="C681" s="1" t="s">
        <v>114</v>
      </c>
      <c r="D681" s="2">
        <v>0.898085980559174</v>
      </c>
      <c r="E681" s="2">
        <v>0.97</v>
      </c>
      <c r="F681" s="1" t="s">
        <v>399</v>
      </c>
      <c r="G681" s="2">
        <v>-1.69456803813426</v>
      </c>
      <c r="H681" s="2">
        <v>3.02474082288056</v>
      </c>
      <c r="I681" s="1">
        <v>1</v>
      </c>
    </row>
    <row r="682" spans="1:9">
      <c r="A682" s="1" t="s">
        <v>137</v>
      </c>
      <c r="B682" s="2">
        <v>0.21</v>
      </c>
      <c r="C682" s="1" t="s">
        <v>114</v>
      </c>
      <c r="D682" s="2">
        <v>0.898085980559174</v>
      </c>
      <c r="E682" s="2">
        <v>0.21</v>
      </c>
      <c r="F682" s="1" t="s">
        <v>399</v>
      </c>
      <c r="G682" s="2">
        <v>-1.69456803813426</v>
      </c>
      <c r="H682" s="2">
        <v>3.02474082288056</v>
      </c>
      <c r="I682" s="1">
        <v>1</v>
      </c>
    </row>
    <row r="683" spans="1:9">
      <c r="A683" s="1" t="s">
        <v>137</v>
      </c>
      <c r="B683" s="2">
        <v>0.36</v>
      </c>
      <c r="C683" s="1" t="s">
        <v>114</v>
      </c>
      <c r="D683" s="2">
        <v>0.898085980559174</v>
      </c>
      <c r="E683" s="2">
        <v>0.36</v>
      </c>
      <c r="F683" s="1" t="s">
        <v>399</v>
      </c>
      <c r="G683" s="2">
        <v>-1.69456803813426</v>
      </c>
      <c r="H683" s="2">
        <v>3.02474082288056</v>
      </c>
      <c r="I683" s="1">
        <v>1</v>
      </c>
    </row>
    <row r="684" spans="1:9">
      <c r="A684" s="1" t="s">
        <v>137</v>
      </c>
      <c r="B684" s="2">
        <v>1.37</v>
      </c>
      <c r="C684" s="1" t="s">
        <v>114</v>
      </c>
      <c r="D684" s="2">
        <v>0.898085980559174</v>
      </c>
      <c r="E684" s="2">
        <v>1.37</v>
      </c>
      <c r="F684" s="1" t="s">
        <v>399</v>
      </c>
      <c r="G684" s="2">
        <v>-1.69456803813426</v>
      </c>
      <c r="H684" s="2">
        <v>3.02474082288056</v>
      </c>
      <c r="I684" s="1">
        <v>1</v>
      </c>
    </row>
    <row r="685" spans="1:9">
      <c r="A685" s="1" t="s">
        <v>137</v>
      </c>
      <c r="B685" s="2">
        <v>0.997714285714285</v>
      </c>
      <c r="C685" s="1" t="s">
        <v>110</v>
      </c>
      <c r="D685" s="2">
        <v>0.898085980559174</v>
      </c>
      <c r="E685" s="2">
        <v>1.11093403895814</v>
      </c>
      <c r="F685" s="1" t="s">
        <v>399</v>
      </c>
      <c r="G685" s="2">
        <v>-1.69456803813426</v>
      </c>
      <c r="H685" s="2">
        <v>3.02474082288056</v>
      </c>
      <c r="I685" s="1">
        <v>1</v>
      </c>
    </row>
    <row r="686" spans="1:9">
      <c r="A686" s="1" t="s">
        <v>137</v>
      </c>
      <c r="B686" s="2">
        <v>0.00363671795767988</v>
      </c>
      <c r="C686" s="1" t="s">
        <v>110</v>
      </c>
      <c r="D686" s="2">
        <v>0.898085980559174</v>
      </c>
      <c r="E686" s="2">
        <v>0.00404940956256277</v>
      </c>
      <c r="F686" s="1" t="s">
        <v>399</v>
      </c>
      <c r="G686" s="2">
        <v>-1.69456803813426</v>
      </c>
      <c r="H686" s="2">
        <v>3.02474082288056</v>
      </c>
      <c r="I686" s="1">
        <v>1</v>
      </c>
    </row>
    <row r="687" spans="1:9">
      <c r="A687" s="1" t="s">
        <v>137</v>
      </c>
      <c r="B687" s="2">
        <v>0.056</v>
      </c>
      <c r="C687" s="1" t="s">
        <v>110</v>
      </c>
      <c r="D687" s="2">
        <v>0.898085980559174</v>
      </c>
      <c r="E687" s="2">
        <v>0.0623548315108235</v>
      </c>
      <c r="F687" s="1" t="s">
        <v>399</v>
      </c>
      <c r="G687" s="2">
        <v>-1.69456803813426</v>
      </c>
      <c r="H687" s="2">
        <v>3.02474082288056</v>
      </c>
      <c r="I687" s="1">
        <v>1</v>
      </c>
    </row>
    <row r="688" spans="1:9">
      <c r="A688" s="1" t="s">
        <v>137</v>
      </c>
      <c r="B688" s="2">
        <v>0.0814545454545455</v>
      </c>
      <c r="C688" s="1" t="s">
        <v>110</v>
      </c>
      <c r="D688" s="2">
        <v>0.898085980559174</v>
      </c>
      <c r="E688" s="2">
        <v>0.090697936743016</v>
      </c>
      <c r="F688" s="1" t="s">
        <v>399</v>
      </c>
      <c r="G688" s="2">
        <v>-1.69456803813426</v>
      </c>
      <c r="H688" s="2">
        <v>3.02474082288056</v>
      </c>
      <c r="I688" s="1">
        <v>1</v>
      </c>
    </row>
    <row r="689" spans="1:9">
      <c r="A689" s="1" t="s">
        <v>137</v>
      </c>
      <c r="B689" s="2">
        <v>0.0254545454545455</v>
      </c>
      <c r="C689" s="1" t="s">
        <v>110</v>
      </c>
      <c r="D689" s="2">
        <v>0.898085980559174</v>
      </c>
      <c r="E689" s="2">
        <v>0.0283431052321926</v>
      </c>
      <c r="F689" s="1" t="s">
        <v>399</v>
      </c>
      <c r="G689" s="2">
        <v>-1.69456803813426</v>
      </c>
      <c r="H689" s="2">
        <v>3.02474082288056</v>
      </c>
      <c r="I689" s="1">
        <v>1</v>
      </c>
    </row>
    <row r="690" spans="1:9">
      <c r="A690" s="1" t="s">
        <v>137</v>
      </c>
      <c r="B690" s="2">
        <v>0.0152727272727273</v>
      </c>
      <c r="C690" s="1" t="s">
        <v>110</v>
      </c>
      <c r="D690" s="2">
        <v>0.898085980559174</v>
      </c>
      <c r="E690" s="2">
        <v>0.0170058631393155</v>
      </c>
      <c r="F690" s="1" t="s">
        <v>399</v>
      </c>
      <c r="G690" s="2">
        <v>-1.69456803813426</v>
      </c>
      <c r="H690" s="2">
        <v>3.02474082288056</v>
      </c>
      <c r="I690" s="1">
        <v>1</v>
      </c>
    </row>
    <row r="691" spans="1:9">
      <c r="A691" s="1" t="s">
        <v>137</v>
      </c>
      <c r="B691" s="2">
        <v>0.0228760330578512</v>
      </c>
      <c r="C691" s="1" t="s">
        <v>110</v>
      </c>
      <c r="D691" s="2">
        <v>0.898085980559174</v>
      </c>
      <c r="E691" s="2">
        <v>0.0254719854813989</v>
      </c>
      <c r="F691" s="1" t="s">
        <v>399</v>
      </c>
      <c r="G691" s="2">
        <v>-1.69456803813426</v>
      </c>
      <c r="H691" s="2">
        <v>3.02474082288056</v>
      </c>
      <c r="I691" s="1">
        <v>1</v>
      </c>
    </row>
    <row r="692" spans="1:9">
      <c r="A692" s="1" t="s">
        <v>137</v>
      </c>
      <c r="B692" s="2">
        <v>0.0311409395973154</v>
      </c>
      <c r="C692" s="1" t="s">
        <v>110</v>
      </c>
      <c r="D692" s="2">
        <v>0.898085980559174</v>
      </c>
      <c r="E692" s="2">
        <v>0.0346747864585595</v>
      </c>
      <c r="F692" s="1" t="s">
        <v>399</v>
      </c>
      <c r="G692" s="2">
        <v>-1.69456803813426</v>
      </c>
      <c r="H692" s="2">
        <v>3.02474082288056</v>
      </c>
      <c r="I692" s="1">
        <v>1</v>
      </c>
    </row>
    <row r="693" spans="1:9">
      <c r="A693" s="1" t="s">
        <v>137</v>
      </c>
      <c r="B693" s="2">
        <v>0.109117647058824</v>
      </c>
      <c r="C693" s="1" t="s">
        <v>110</v>
      </c>
      <c r="D693" s="2">
        <v>0.898085980559174</v>
      </c>
      <c r="E693" s="2">
        <v>0.121500223164473</v>
      </c>
      <c r="F693" s="1" t="s">
        <v>399</v>
      </c>
      <c r="G693" s="2">
        <v>-1.69456803813426</v>
      </c>
      <c r="H693" s="2">
        <v>3.02474082288056</v>
      </c>
      <c r="I693" s="1">
        <v>1</v>
      </c>
    </row>
    <row r="694" spans="1:9">
      <c r="A694" s="1" t="s">
        <v>137</v>
      </c>
      <c r="B694" s="2">
        <v>0.008</v>
      </c>
      <c r="C694" s="1" t="s">
        <v>110</v>
      </c>
      <c r="D694" s="2">
        <v>0.898085980559174</v>
      </c>
      <c r="E694" s="2">
        <v>0.00890783307297478</v>
      </c>
      <c r="F694" s="1" t="s">
        <v>399</v>
      </c>
      <c r="G694" s="2">
        <v>-1.69456803813426</v>
      </c>
      <c r="H694" s="2">
        <v>3.02474082288056</v>
      </c>
      <c r="I694" s="1">
        <v>1</v>
      </c>
    </row>
    <row r="695" spans="1:9">
      <c r="A695" s="1" t="s">
        <v>137</v>
      </c>
      <c r="B695" s="2">
        <v>0.99</v>
      </c>
      <c r="C695" s="1" t="s">
        <v>110</v>
      </c>
      <c r="D695" s="2">
        <v>0.898085980559174</v>
      </c>
      <c r="E695" s="2">
        <v>1.10234434278063</v>
      </c>
      <c r="F695" s="1" t="s">
        <v>399</v>
      </c>
      <c r="G695" s="2">
        <v>-1.69456803813426</v>
      </c>
      <c r="H695" s="2">
        <v>3.02474082288056</v>
      </c>
      <c r="I695" s="1">
        <v>1</v>
      </c>
    </row>
    <row r="696" spans="1:9">
      <c r="A696" s="1" t="s">
        <v>137</v>
      </c>
      <c r="B696" s="2">
        <v>0.05</v>
      </c>
      <c r="C696" s="1" t="s">
        <v>110</v>
      </c>
      <c r="D696" s="2">
        <v>0.898085980559174</v>
      </c>
      <c r="E696" s="2">
        <v>0.0556739567060924</v>
      </c>
      <c r="F696" s="1" t="s">
        <v>399</v>
      </c>
      <c r="G696" s="2">
        <v>-1.69456803813426</v>
      </c>
      <c r="H696" s="2">
        <v>3.02474082288056</v>
      </c>
      <c r="I696" s="1">
        <v>1</v>
      </c>
    </row>
    <row r="697" spans="1:9">
      <c r="A697" s="1" t="s">
        <v>137</v>
      </c>
      <c r="B697" s="2">
        <v>1.52</v>
      </c>
      <c r="C697" s="1" t="s">
        <v>110</v>
      </c>
      <c r="D697" s="2">
        <v>0.898085980559174</v>
      </c>
      <c r="E697" s="2">
        <v>1.69248828386521</v>
      </c>
      <c r="F697" s="1" t="s">
        <v>399</v>
      </c>
      <c r="G697" s="2">
        <v>-1.69456803813426</v>
      </c>
      <c r="H697" s="2">
        <v>3.02474082288056</v>
      </c>
      <c r="I697" s="1">
        <v>1</v>
      </c>
    </row>
    <row r="698" spans="1:9">
      <c r="A698" s="1" t="s">
        <v>137</v>
      </c>
      <c r="B698" s="2">
        <v>1.23</v>
      </c>
      <c r="C698" s="1" t="s">
        <v>110</v>
      </c>
      <c r="D698" s="2">
        <v>0.898085980559174</v>
      </c>
      <c r="E698" s="2">
        <v>1.36957933496987</v>
      </c>
      <c r="F698" s="1" t="s">
        <v>399</v>
      </c>
      <c r="G698" s="2">
        <v>-1.69456803813426</v>
      </c>
      <c r="H698" s="2">
        <v>3.02474082288056</v>
      </c>
      <c r="I698" s="1">
        <v>1</v>
      </c>
    </row>
    <row r="699" spans="1:9">
      <c r="A699" s="1" t="s">
        <v>137</v>
      </c>
      <c r="B699" s="2">
        <v>1.03</v>
      </c>
      <c r="C699" s="1" t="s">
        <v>110</v>
      </c>
      <c r="D699" s="2">
        <v>0.898085980559174</v>
      </c>
      <c r="E699" s="2">
        <v>1.1468835081455</v>
      </c>
      <c r="F699" s="1" t="s">
        <v>399</v>
      </c>
      <c r="G699" s="2">
        <v>-1.69456803813426</v>
      </c>
      <c r="H699" s="2">
        <v>3.02474082288056</v>
      </c>
      <c r="I699" s="1">
        <v>1</v>
      </c>
    </row>
    <row r="700" spans="1:9">
      <c r="A700" s="1" t="s">
        <v>137</v>
      </c>
      <c r="B700" s="2">
        <v>0.88</v>
      </c>
      <c r="C700" s="1" t="s">
        <v>110</v>
      </c>
      <c r="D700" s="2">
        <v>0.898085980559174</v>
      </c>
      <c r="E700" s="2">
        <v>0.979861638027226</v>
      </c>
      <c r="F700" s="1" t="s">
        <v>399</v>
      </c>
      <c r="G700" s="2">
        <v>-1.69456803813426</v>
      </c>
      <c r="H700" s="2">
        <v>3.02474082288056</v>
      </c>
      <c r="I700" s="1">
        <v>1</v>
      </c>
    </row>
    <row r="701" spans="1:9">
      <c r="A701" s="1" t="s">
        <v>137</v>
      </c>
      <c r="B701" s="2">
        <v>0.85</v>
      </c>
      <c r="C701" s="1" t="s">
        <v>110</v>
      </c>
      <c r="D701" s="2">
        <v>0.898085980559174</v>
      </c>
      <c r="E701" s="2">
        <v>0.946457264003571</v>
      </c>
      <c r="F701" s="1" t="s">
        <v>399</v>
      </c>
      <c r="G701" s="2">
        <v>-1.69456803813426</v>
      </c>
      <c r="H701" s="2">
        <v>3.02474082288056</v>
      </c>
      <c r="I701" s="1">
        <v>1</v>
      </c>
    </row>
    <row r="702" spans="1:9">
      <c r="A702" s="1" t="s">
        <v>137</v>
      </c>
      <c r="B702" s="2">
        <v>1.32</v>
      </c>
      <c r="C702" s="1" t="s">
        <v>110</v>
      </c>
      <c r="D702" s="2">
        <v>0.898085980559174</v>
      </c>
      <c r="E702" s="2">
        <v>1.46979245704084</v>
      </c>
      <c r="F702" s="1" t="s">
        <v>399</v>
      </c>
      <c r="G702" s="2">
        <v>-1.69456803813426</v>
      </c>
      <c r="H702" s="2">
        <v>3.02474082288056</v>
      </c>
      <c r="I702" s="1">
        <v>1</v>
      </c>
    </row>
    <row r="703" spans="1:9">
      <c r="A703" s="1" t="s">
        <v>137</v>
      </c>
      <c r="B703" s="2">
        <v>0.8</v>
      </c>
      <c r="C703" s="1" t="s">
        <v>110</v>
      </c>
      <c r="D703" s="2">
        <v>0.898085980559174</v>
      </c>
      <c r="E703" s="2">
        <v>0.890783307297479</v>
      </c>
      <c r="F703" s="1" t="s">
        <v>399</v>
      </c>
      <c r="G703" s="2">
        <v>-1.69456803813426</v>
      </c>
      <c r="H703" s="2">
        <v>3.02474082288056</v>
      </c>
      <c r="I703" s="1">
        <v>1</v>
      </c>
    </row>
    <row r="704" spans="1:9">
      <c r="A704" s="1" t="s">
        <v>137</v>
      </c>
      <c r="B704" s="2">
        <v>0.005</v>
      </c>
      <c r="C704" s="1" t="s">
        <v>110</v>
      </c>
      <c r="D704" s="2">
        <v>0.898085980559174</v>
      </c>
      <c r="E704" s="2">
        <v>0.00556739567060924</v>
      </c>
      <c r="F704" s="1" t="s">
        <v>399</v>
      </c>
      <c r="G704" s="2">
        <v>-1.69456803813426</v>
      </c>
      <c r="H704" s="2">
        <v>3.02474082288056</v>
      </c>
      <c r="I704" s="1">
        <v>1</v>
      </c>
    </row>
    <row r="705" spans="1:9">
      <c r="A705" s="1" t="s">
        <v>137</v>
      </c>
      <c r="B705" s="2">
        <v>0.005</v>
      </c>
      <c r="C705" s="1" t="s">
        <v>110</v>
      </c>
      <c r="D705" s="2">
        <v>0.898085980559174</v>
      </c>
      <c r="E705" s="2">
        <v>0.00556739567060924</v>
      </c>
      <c r="F705" s="1" t="s">
        <v>399</v>
      </c>
      <c r="G705" s="2">
        <v>-1.69456803813426</v>
      </c>
      <c r="H705" s="2">
        <v>3.02474082288056</v>
      </c>
      <c r="I705" s="1">
        <v>1</v>
      </c>
    </row>
    <row r="706" spans="1:9">
      <c r="A706" s="1" t="s">
        <v>137</v>
      </c>
      <c r="B706" s="2">
        <v>0.012</v>
      </c>
      <c r="C706" s="1" t="s">
        <v>110</v>
      </c>
      <c r="D706" s="2">
        <v>0.898085980559174</v>
      </c>
      <c r="E706" s="2">
        <v>0.0133617496094622</v>
      </c>
      <c r="F706" s="1" t="s">
        <v>399</v>
      </c>
      <c r="G706" s="2">
        <v>-1.69456803813426</v>
      </c>
      <c r="H706" s="2">
        <v>3.02474082288056</v>
      </c>
      <c r="I706" s="1">
        <v>1</v>
      </c>
    </row>
    <row r="707" spans="1:9">
      <c r="A707" s="1" t="s">
        <v>137</v>
      </c>
      <c r="B707" s="2">
        <v>0.012</v>
      </c>
      <c r="C707" s="1" t="s">
        <v>110</v>
      </c>
      <c r="D707" s="2">
        <v>0.898085980559174</v>
      </c>
      <c r="E707" s="2">
        <v>0.0133617496094622</v>
      </c>
      <c r="F707" s="1" t="s">
        <v>399</v>
      </c>
      <c r="G707" s="2">
        <v>-1.69456803813426</v>
      </c>
      <c r="H707" s="2">
        <v>3.02474082288056</v>
      </c>
      <c r="I707" s="1">
        <v>1</v>
      </c>
    </row>
    <row r="708" spans="1:9">
      <c r="A708" s="1" t="s">
        <v>137</v>
      </c>
      <c r="B708" s="2">
        <v>0.19</v>
      </c>
      <c r="C708" s="1" t="s">
        <v>110</v>
      </c>
      <c r="D708" s="2">
        <v>0.898085980559174</v>
      </c>
      <c r="E708" s="2">
        <v>0.211561035483151</v>
      </c>
      <c r="F708" s="1" t="s">
        <v>399</v>
      </c>
      <c r="G708" s="2">
        <v>-1.69456803813426</v>
      </c>
      <c r="H708" s="2">
        <v>3.02474082288056</v>
      </c>
      <c r="I708" s="1">
        <v>1</v>
      </c>
    </row>
    <row r="709" spans="1:9">
      <c r="A709" s="1" t="s">
        <v>137</v>
      </c>
      <c r="B709" s="2">
        <v>0.006</v>
      </c>
      <c r="C709" s="1" t="s">
        <v>110</v>
      </c>
      <c r="D709" s="2">
        <v>0.898085980559174</v>
      </c>
      <c r="E709" s="2">
        <v>0.00668087480473109</v>
      </c>
      <c r="F709" s="1" t="s">
        <v>399</v>
      </c>
      <c r="G709" s="2">
        <v>-1.69456803813426</v>
      </c>
      <c r="H709" s="2">
        <v>3.02474082288056</v>
      </c>
      <c r="I709" s="1">
        <v>1</v>
      </c>
    </row>
    <row r="710" spans="1:9">
      <c r="A710" s="1" t="s">
        <v>137</v>
      </c>
      <c r="B710" s="2">
        <v>0.00226391096979332</v>
      </c>
      <c r="C710" s="1" t="s">
        <v>110</v>
      </c>
      <c r="D710" s="2">
        <v>0.898085980559174</v>
      </c>
      <c r="E710" s="2">
        <v>0.00252081762637442</v>
      </c>
      <c r="F710" s="1" t="s">
        <v>399</v>
      </c>
      <c r="G710" s="2">
        <v>-1.69456803813426</v>
      </c>
      <c r="H710" s="2">
        <v>3.02474082288056</v>
      </c>
      <c r="I710" s="1">
        <v>1</v>
      </c>
    </row>
    <row r="711" spans="1:9">
      <c r="A711" s="1" t="s">
        <v>137</v>
      </c>
      <c r="B711" s="2">
        <v>0.00445151033386328</v>
      </c>
      <c r="C711" s="1" t="s">
        <v>110</v>
      </c>
      <c r="D711" s="2">
        <v>0.898085980559174</v>
      </c>
      <c r="E711" s="2">
        <v>0.00495666387208454</v>
      </c>
      <c r="F711" s="1" t="s">
        <v>399</v>
      </c>
      <c r="G711" s="2">
        <v>-1.69456803813426</v>
      </c>
      <c r="H711" s="2">
        <v>3.02474082288056</v>
      </c>
      <c r="I711" s="1">
        <v>1</v>
      </c>
    </row>
    <row r="712" spans="1:9">
      <c r="A712" s="1" t="s">
        <v>137</v>
      </c>
      <c r="B712" s="2">
        <v>0.00318976545842218</v>
      </c>
      <c r="C712" s="1" t="s">
        <v>110</v>
      </c>
      <c r="D712" s="2">
        <v>0.898085980559174</v>
      </c>
      <c r="E712" s="2">
        <v>0.00355173728069571</v>
      </c>
      <c r="F712" s="1" t="s">
        <v>399</v>
      </c>
      <c r="G712" s="2">
        <v>-1.69456803813426</v>
      </c>
      <c r="H712" s="2">
        <v>3.02474082288056</v>
      </c>
      <c r="I712" s="1">
        <v>1</v>
      </c>
    </row>
    <row r="713" spans="1:9">
      <c r="A713" s="1" t="s">
        <v>137</v>
      </c>
      <c r="B713" s="2">
        <v>0.000799573560767591</v>
      </c>
      <c r="C713" s="1" t="s">
        <v>110</v>
      </c>
      <c r="D713" s="2">
        <v>0.898085980559174</v>
      </c>
      <c r="E713" s="2">
        <v>0.00089030847611022</v>
      </c>
      <c r="F713" s="1" t="s">
        <v>399</v>
      </c>
      <c r="G713" s="2">
        <v>-1.69456803813426</v>
      </c>
      <c r="H713" s="2">
        <v>3.02474082288056</v>
      </c>
      <c r="I713" s="1">
        <v>1</v>
      </c>
    </row>
    <row r="714" spans="1:9">
      <c r="A714" s="1" t="s">
        <v>137</v>
      </c>
      <c r="B714" s="2">
        <v>0.000338753387533875</v>
      </c>
      <c r="C714" s="1" t="s">
        <v>110</v>
      </c>
      <c r="D714" s="2">
        <v>0.898085980559174</v>
      </c>
      <c r="E714" s="2">
        <v>0.000377194828632062</v>
      </c>
      <c r="F714" s="1" t="s">
        <v>399</v>
      </c>
      <c r="G714" s="2">
        <v>-1.69456803813426</v>
      </c>
      <c r="H714" s="2">
        <v>3.02474082288056</v>
      </c>
      <c r="I714" s="1">
        <v>1</v>
      </c>
    </row>
    <row r="715" spans="1:9">
      <c r="A715" s="1" t="s">
        <v>137</v>
      </c>
      <c r="B715" s="2">
        <v>3.38753387533875e-5</v>
      </c>
      <c r="C715" s="1" t="s">
        <v>110</v>
      </c>
      <c r="D715" s="2">
        <v>0.898085980559174</v>
      </c>
      <c r="E715" s="2">
        <v>3.77194828632062e-5</v>
      </c>
      <c r="F715" s="1" t="s">
        <v>399</v>
      </c>
      <c r="G715" s="2">
        <v>-1.69456803813426</v>
      </c>
      <c r="H715" s="2">
        <v>3.02474082288056</v>
      </c>
      <c r="I715" s="1">
        <v>1</v>
      </c>
    </row>
    <row r="716" spans="1:9">
      <c r="A716" s="1" t="s">
        <v>137</v>
      </c>
      <c r="B716" s="2">
        <v>0.0399604352126607</v>
      </c>
      <c r="C716" s="1" t="s">
        <v>110</v>
      </c>
      <c r="D716" s="2">
        <v>0.898085980559174</v>
      </c>
      <c r="E716" s="2">
        <v>0.0444951107997256</v>
      </c>
      <c r="F716" s="1" t="s">
        <v>399</v>
      </c>
      <c r="G716" s="2">
        <v>-1.69456803813426</v>
      </c>
      <c r="H716" s="2">
        <v>3.02474082288056</v>
      </c>
      <c r="I716" s="1">
        <v>1</v>
      </c>
    </row>
    <row r="717" spans="1:9">
      <c r="A717" s="1" t="s">
        <v>137</v>
      </c>
      <c r="B717" s="2">
        <v>0.06</v>
      </c>
      <c r="C717" s="1" t="s">
        <v>114</v>
      </c>
      <c r="D717" s="2">
        <v>0.898085980559174</v>
      </c>
      <c r="E717" s="2">
        <v>0.06</v>
      </c>
      <c r="F717" s="1" t="s">
        <v>399</v>
      </c>
      <c r="G717" s="2">
        <v>-1.69456803813426</v>
      </c>
      <c r="H717" s="2">
        <v>3.02474082288056</v>
      </c>
      <c r="I717" s="1">
        <v>1</v>
      </c>
    </row>
    <row r="718" spans="1:9">
      <c r="A718" s="1" t="s">
        <v>137</v>
      </c>
      <c r="B718" s="2">
        <v>0.078</v>
      </c>
      <c r="C718" s="1" t="s">
        <v>110</v>
      </c>
      <c r="D718" s="2">
        <v>0.898085980559174</v>
      </c>
      <c r="E718" s="2">
        <v>0.0868513724615042</v>
      </c>
      <c r="F718" s="1" t="s">
        <v>399</v>
      </c>
      <c r="G718" s="2">
        <v>-1.69456803813426</v>
      </c>
      <c r="H718" s="2">
        <v>3.02474082288056</v>
      </c>
      <c r="I718" s="1">
        <v>1</v>
      </c>
    </row>
    <row r="719" spans="1:9">
      <c r="A719" s="1" t="s">
        <v>137</v>
      </c>
      <c r="B719" s="2">
        <v>3.4322033</v>
      </c>
      <c r="C719" s="1" t="s">
        <v>110</v>
      </c>
      <c r="D719" s="2">
        <v>0.898085980559174</v>
      </c>
      <c r="E719" s="2">
        <v>3.82168675861415</v>
      </c>
      <c r="F719" s="1" t="s">
        <v>400</v>
      </c>
      <c r="G719" s="2">
        <v>-1.69456803813426</v>
      </c>
      <c r="H719" s="2">
        <v>3.02474082288056</v>
      </c>
      <c r="I719" s="1">
        <v>1</v>
      </c>
    </row>
    <row r="720" spans="1:9">
      <c r="A720" s="1" t="s">
        <v>137</v>
      </c>
      <c r="B720" s="2">
        <v>3.3757062</v>
      </c>
      <c r="C720" s="1" t="s">
        <v>110</v>
      </c>
      <c r="D720" s="2">
        <v>0.898085980559174</v>
      </c>
      <c r="E720" s="2">
        <v>3.75877841662575</v>
      </c>
      <c r="F720" s="1" t="s">
        <v>400</v>
      </c>
      <c r="G720" s="2">
        <v>-1.69456803813426</v>
      </c>
      <c r="H720" s="2">
        <v>3.02474082288056</v>
      </c>
      <c r="I720" s="1">
        <v>1</v>
      </c>
    </row>
    <row r="721" spans="1:9">
      <c r="A721" s="1" t="s">
        <v>137</v>
      </c>
      <c r="B721" s="2">
        <v>2.0762713</v>
      </c>
      <c r="C721" s="1" t="s">
        <v>110</v>
      </c>
      <c r="D721" s="2">
        <v>0.898085980559174</v>
      </c>
      <c r="E721" s="2">
        <v>2.31188476932604</v>
      </c>
      <c r="F721" s="1" t="s">
        <v>399</v>
      </c>
      <c r="G721" s="2">
        <v>-1.69456803813426</v>
      </c>
      <c r="H721" s="2">
        <v>3.02474082288056</v>
      </c>
      <c r="I721" s="1">
        <v>1</v>
      </c>
    </row>
    <row r="722" spans="1:9">
      <c r="A722" s="1" t="s">
        <v>137</v>
      </c>
      <c r="B722" s="2">
        <v>1.4265537</v>
      </c>
      <c r="C722" s="1" t="s">
        <v>110</v>
      </c>
      <c r="D722" s="2">
        <v>0.898085980559174</v>
      </c>
      <c r="E722" s="2">
        <v>1.58843777865432</v>
      </c>
      <c r="F722" s="1" t="s">
        <v>399</v>
      </c>
      <c r="G722" s="2">
        <v>-1.69456803813426</v>
      </c>
      <c r="H722" s="2">
        <v>3.02474082288056</v>
      </c>
      <c r="I722" s="1">
        <v>1</v>
      </c>
    </row>
    <row r="723" spans="1:9">
      <c r="A723" s="1" t="s">
        <v>137</v>
      </c>
      <c r="B723" s="2">
        <v>1.2570622</v>
      </c>
      <c r="C723" s="1" t="s">
        <v>110</v>
      </c>
      <c r="D723" s="2">
        <v>0.898085980559174</v>
      </c>
      <c r="E723" s="2">
        <v>1.39971252999331</v>
      </c>
      <c r="F723" s="1" t="s">
        <v>399</v>
      </c>
      <c r="G723" s="2">
        <v>-1.69456803813426</v>
      </c>
      <c r="H723" s="2">
        <v>3.02474082288056</v>
      </c>
      <c r="I723" s="1">
        <v>1</v>
      </c>
    </row>
    <row r="724" spans="1:9">
      <c r="A724" s="1" t="s">
        <v>137</v>
      </c>
      <c r="B724" s="2">
        <v>1.1864407</v>
      </c>
      <c r="C724" s="1" t="s">
        <v>110</v>
      </c>
      <c r="D724" s="2">
        <v>0.898085980559174</v>
      </c>
      <c r="E724" s="2">
        <v>1.32107696332292</v>
      </c>
      <c r="F724" s="1" t="s">
        <v>399</v>
      </c>
      <c r="G724" s="2">
        <v>-1.69456803813426</v>
      </c>
      <c r="H724" s="2">
        <v>3.02474082288056</v>
      </c>
      <c r="I724" s="1">
        <v>1</v>
      </c>
    </row>
    <row r="725" spans="1:9">
      <c r="A725" s="1" t="s">
        <v>137</v>
      </c>
      <c r="B725" s="2">
        <v>1.0169492</v>
      </c>
      <c r="C725" s="1" t="s">
        <v>110</v>
      </c>
      <c r="D725" s="2">
        <v>0.898085980559174</v>
      </c>
      <c r="E725" s="2">
        <v>1.13235171466191</v>
      </c>
      <c r="F725" s="1" t="s">
        <v>399</v>
      </c>
      <c r="G725" s="2">
        <v>-1.69456803813426</v>
      </c>
      <c r="H725" s="2">
        <v>3.02474082288056</v>
      </c>
      <c r="I725" s="1">
        <v>1</v>
      </c>
    </row>
    <row r="726" spans="1:9">
      <c r="A726" s="1" t="s">
        <v>137</v>
      </c>
      <c r="B726" s="2">
        <v>0.8898305</v>
      </c>
      <c r="C726" s="1" t="s">
        <v>110</v>
      </c>
      <c r="D726" s="2">
        <v>0.898085980559174</v>
      </c>
      <c r="E726" s="2">
        <v>0.990807694655211</v>
      </c>
      <c r="F726" s="1" t="s">
        <v>399</v>
      </c>
      <c r="G726" s="2">
        <v>-1.69456803813426</v>
      </c>
      <c r="H726" s="2">
        <v>3.02474082288056</v>
      </c>
      <c r="I726" s="1">
        <v>1</v>
      </c>
    </row>
    <row r="727" spans="1:9">
      <c r="A727" s="1" t="s">
        <v>137</v>
      </c>
      <c r="B727" s="2">
        <v>0.720339</v>
      </c>
      <c r="C727" s="1" t="s">
        <v>110</v>
      </c>
      <c r="D727" s="2">
        <v>0.898085980559174</v>
      </c>
      <c r="E727" s="2">
        <v>0.802082445994198</v>
      </c>
      <c r="F727" s="1" t="s">
        <v>399</v>
      </c>
      <c r="G727" s="2">
        <v>-1.69456803813426</v>
      </c>
      <c r="H727" s="2">
        <v>3.02474082288056</v>
      </c>
      <c r="I727" s="1">
        <v>1</v>
      </c>
    </row>
    <row r="728" spans="1:9">
      <c r="A728" s="1" t="s">
        <v>137</v>
      </c>
      <c r="B728" s="2">
        <v>0.5508475</v>
      </c>
      <c r="C728" s="1" t="s">
        <v>110</v>
      </c>
      <c r="D728" s="2">
        <v>0.898085980559174</v>
      </c>
      <c r="E728" s="2">
        <v>0.613357197333185</v>
      </c>
      <c r="F728" s="1" t="s">
        <v>399</v>
      </c>
      <c r="G728" s="2">
        <v>-1.69456803813426</v>
      </c>
      <c r="H728" s="2">
        <v>3.02474082288056</v>
      </c>
      <c r="I728" s="1">
        <v>1</v>
      </c>
    </row>
    <row r="729" spans="1:9">
      <c r="A729" s="1" t="s">
        <v>137</v>
      </c>
      <c r="B729" s="2">
        <v>0.40960452</v>
      </c>
      <c r="C729" s="1" t="s">
        <v>110</v>
      </c>
      <c r="D729" s="2">
        <v>0.898085980559174</v>
      </c>
      <c r="E729" s="2">
        <v>0.456086086261995</v>
      </c>
      <c r="F729" s="1" t="s">
        <v>399</v>
      </c>
      <c r="G729" s="2">
        <v>-1.69456803813426</v>
      </c>
      <c r="H729" s="2">
        <v>3.02474082288056</v>
      </c>
      <c r="I729" s="1">
        <v>1</v>
      </c>
    </row>
    <row r="730" spans="1:9">
      <c r="A730" s="1" t="s">
        <v>137</v>
      </c>
      <c r="B730" s="2">
        <v>0.31073445</v>
      </c>
      <c r="C730" s="1" t="s">
        <v>110</v>
      </c>
      <c r="D730" s="2">
        <v>0.898085980559174</v>
      </c>
      <c r="E730" s="2">
        <v>0.345996326327829</v>
      </c>
      <c r="F730" s="1" t="s">
        <v>399</v>
      </c>
      <c r="G730" s="2">
        <v>-1.69456803813426</v>
      </c>
      <c r="H730" s="2">
        <v>3.02474082288056</v>
      </c>
      <c r="I730" s="1">
        <v>1</v>
      </c>
    </row>
    <row r="731" spans="1:9">
      <c r="A731" s="1" t="s">
        <v>137</v>
      </c>
      <c r="B731" s="2">
        <v>0.11299435</v>
      </c>
      <c r="C731" s="1" t="s">
        <v>110</v>
      </c>
      <c r="D731" s="2">
        <v>0.898085980559174</v>
      </c>
      <c r="E731" s="2">
        <v>0.125816850998661</v>
      </c>
      <c r="F731" s="1" t="s">
        <v>399</v>
      </c>
      <c r="G731" s="2">
        <v>-1.69456803813426</v>
      </c>
      <c r="H731" s="2">
        <v>3.02474082288056</v>
      </c>
      <c r="I731" s="1">
        <v>1</v>
      </c>
    </row>
    <row r="732" spans="1:9">
      <c r="A732" s="1" t="s">
        <v>137</v>
      </c>
      <c r="B732" s="2">
        <v>0.211</v>
      </c>
      <c r="C732" s="1" t="s">
        <v>110</v>
      </c>
      <c r="D732" s="2">
        <v>0.898085980559174</v>
      </c>
      <c r="E732" s="2">
        <v>0.23494409729971</v>
      </c>
      <c r="F732" s="1" t="s">
        <v>399</v>
      </c>
      <c r="G732" s="2">
        <v>-1.69456803813426</v>
      </c>
      <c r="H732" s="2">
        <v>3.02474082288056</v>
      </c>
      <c r="I732" s="1">
        <v>1</v>
      </c>
    </row>
    <row r="733" spans="1:9">
      <c r="A733" s="1" t="s">
        <v>137</v>
      </c>
      <c r="B733" s="2">
        <v>0.53</v>
      </c>
      <c r="C733" s="1" t="s">
        <v>110</v>
      </c>
      <c r="D733" s="2">
        <v>0.898085980559174</v>
      </c>
      <c r="E733" s="2">
        <v>0.59014394108458</v>
      </c>
      <c r="F733" s="1" t="s">
        <v>399</v>
      </c>
      <c r="G733" s="2">
        <v>-1.69456803813426</v>
      </c>
      <c r="H733" s="2">
        <v>3.02474082288056</v>
      </c>
      <c r="I733" s="1">
        <v>1</v>
      </c>
    </row>
    <row r="734" spans="1:9">
      <c r="A734" s="1" t="s">
        <v>137</v>
      </c>
      <c r="B734" s="2">
        <v>0.58</v>
      </c>
      <c r="C734" s="1" t="s">
        <v>110</v>
      </c>
      <c r="D734" s="2">
        <v>0.898085980559174</v>
      </c>
      <c r="E734" s="2">
        <v>0.645817897790672</v>
      </c>
      <c r="F734" s="1" t="s">
        <v>399</v>
      </c>
      <c r="G734" s="2">
        <v>-1.69456803813426</v>
      </c>
      <c r="H734" s="2">
        <v>3.02474082288056</v>
      </c>
      <c r="I734" s="1">
        <v>1</v>
      </c>
    </row>
    <row r="735" spans="1:9">
      <c r="A735" s="1" t="s">
        <v>137</v>
      </c>
      <c r="B735" s="2">
        <v>4.6</v>
      </c>
      <c r="C735" s="1" t="s">
        <v>110</v>
      </c>
      <c r="D735" s="2">
        <v>0.898085980559174</v>
      </c>
      <c r="E735" s="2">
        <v>5.1220040169605</v>
      </c>
      <c r="F735" s="1" t="s">
        <v>400</v>
      </c>
      <c r="G735" s="2">
        <v>-1.69456803813426</v>
      </c>
      <c r="H735" s="2">
        <v>3.02474082288056</v>
      </c>
      <c r="I735" s="1">
        <v>1</v>
      </c>
    </row>
    <row r="736" spans="1:9">
      <c r="A736" s="1" t="s">
        <v>137</v>
      </c>
      <c r="B736" s="2">
        <v>0.0736209090909091</v>
      </c>
      <c r="C736" s="1" t="s">
        <v>110</v>
      </c>
      <c r="D736" s="2">
        <v>0.898085980559174</v>
      </c>
      <c r="E736" s="2">
        <v>0.0819753461078088</v>
      </c>
      <c r="F736" s="1" t="s">
        <v>399</v>
      </c>
      <c r="G736" s="2">
        <v>-1.69456803813426</v>
      </c>
      <c r="H736" s="2">
        <v>3.02474082288056</v>
      </c>
      <c r="I736" s="1">
        <v>1</v>
      </c>
    </row>
    <row r="737" spans="1:9">
      <c r="A737" s="1" t="s">
        <v>137</v>
      </c>
      <c r="B737" s="2">
        <v>0.04424</v>
      </c>
      <c r="C737" s="1" t="s">
        <v>110</v>
      </c>
      <c r="D737" s="2">
        <v>0.898085980559174</v>
      </c>
      <c r="E737" s="2">
        <v>0.0492603168935506</v>
      </c>
      <c r="F737" s="1" t="s">
        <v>399</v>
      </c>
      <c r="G737" s="2">
        <v>-1.69456803813426</v>
      </c>
      <c r="H737" s="2">
        <v>3.02474082288056</v>
      </c>
      <c r="I737" s="1">
        <v>1</v>
      </c>
    </row>
    <row r="738" spans="1:9">
      <c r="A738" s="1" t="s">
        <v>137</v>
      </c>
      <c r="B738" s="2">
        <v>11.4941805599245</v>
      </c>
      <c r="C738" s="1" t="s">
        <v>110</v>
      </c>
      <c r="D738" s="2">
        <v>0.898085980559174</v>
      </c>
      <c r="E738" s="2">
        <v>12.7985302173049</v>
      </c>
      <c r="F738" s="1" t="s">
        <v>400</v>
      </c>
      <c r="G738" s="2">
        <v>-1.69456803813426</v>
      </c>
      <c r="H738" s="2">
        <v>3.02474082288056</v>
      </c>
      <c r="I738" s="1">
        <v>1</v>
      </c>
    </row>
    <row r="739" spans="1:9">
      <c r="A739" s="1" t="s">
        <v>137</v>
      </c>
      <c r="B739" s="2">
        <v>7.134318968229</v>
      </c>
      <c r="C739" s="1" t="s">
        <v>110</v>
      </c>
      <c r="D739" s="2">
        <v>0.898085980559174</v>
      </c>
      <c r="E739" s="2">
        <v>7.9439153072927</v>
      </c>
      <c r="F739" s="1" t="s">
        <v>400</v>
      </c>
      <c r="G739" s="2">
        <v>-1.69456803813426</v>
      </c>
      <c r="H739" s="2">
        <v>3.02474082288056</v>
      </c>
      <c r="I739" s="1">
        <v>1</v>
      </c>
    </row>
    <row r="740" spans="1:9">
      <c r="A740" s="1" t="s">
        <v>137</v>
      </c>
      <c r="B740" s="2">
        <v>1.96953229822886</v>
      </c>
      <c r="C740" s="1" t="s">
        <v>110</v>
      </c>
      <c r="D740" s="2">
        <v>0.898085980559174</v>
      </c>
      <c r="E740" s="2">
        <v>2.19303311805688</v>
      </c>
      <c r="F740" s="1" t="s">
        <v>399</v>
      </c>
      <c r="G740" s="2">
        <v>-1.69456803813426</v>
      </c>
      <c r="H740" s="2">
        <v>3.02474082288056</v>
      </c>
      <c r="I740" s="1">
        <v>1</v>
      </c>
    </row>
    <row r="741" spans="1:9">
      <c r="A741" s="1" t="s">
        <v>137</v>
      </c>
      <c r="B741" s="2">
        <v>0.393906459645771</v>
      </c>
      <c r="C741" s="1" t="s">
        <v>110</v>
      </c>
      <c r="D741" s="2">
        <v>0.898085980559174</v>
      </c>
      <c r="E741" s="2">
        <v>0.438606623611376</v>
      </c>
      <c r="F741" s="1" t="s">
        <v>399</v>
      </c>
      <c r="G741" s="2">
        <v>-1.69456803813426</v>
      </c>
      <c r="H741" s="2">
        <v>3.02474082288056</v>
      </c>
      <c r="I741" s="1">
        <v>1</v>
      </c>
    </row>
    <row r="742" spans="1:9">
      <c r="A742" s="1" t="s">
        <v>137</v>
      </c>
      <c r="B742" s="2">
        <v>0.0958202424242424</v>
      </c>
      <c r="C742" s="1" t="s">
        <v>110</v>
      </c>
      <c r="D742" s="2">
        <v>0.898085980559174</v>
      </c>
      <c r="E742" s="2">
        <v>0.106693840565891</v>
      </c>
      <c r="F742" s="1" t="s">
        <v>399</v>
      </c>
      <c r="G742" s="2">
        <v>-1.69456803813426</v>
      </c>
      <c r="H742" s="2">
        <v>3.02474082288056</v>
      </c>
      <c r="I742" s="1">
        <v>1</v>
      </c>
    </row>
    <row r="743" spans="1:9">
      <c r="A743" s="1" t="s">
        <v>137</v>
      </c>
      <c r="B743" s="2">
        <v>0.121692242424242</v>
      </c>
      <c r="C743" s="1" t="s">
        <v>110</v>
      </c>
      <c r="D743" s="2">
        <v>0.898085980559174</v>
      </c>
      <c r="E743" s="2">
        <v>0.135501772723891</v>
      </c>
      <c r="F743" s="1" t="s">
        <v>399</v>
      </c>
      <c r="G743" s="2">
        <v>-1.69456803813426</v>
      </c>
      <c r="H743" s="2">
        <v>3.02474082288056</v>
      </c>
      <c r="I743" s="1">
        <v>1</v>
      </c>
    </row>
    <row r="744" spans="1:9">
      <c r="A744" s="1" t="s">
        <v>137</v>
      </c>
      <c r="B744" s="2">
        <v>0.108209818181818</v>
      </c>
      <c r="C744" s="1" t="s">
        <v>110</v>
      </c>
      <c r="D744" s="2">
        <v>0.898085980559174</v>
      </c>
      <c r="E744" s="2">
        <v>0.120489374652573</v>
      </c>
      <c r="F744" s="1" t="s">
        <v>399</v>
      </c>
      <c r="G744" s="2">
        <v>-1.69456803813426</v>
      </c>
      <c r="H744" s="2">
        <v>3.02474082288056</v>
      </c>
      <c r="I744" s="1">
        <v>1</v>
      </c>
    </row>
    <row r="745" spans="1:9">
      <c r="A745" s="1" t="s">
        <v>137</v>
      </c>
      <c r="B745" s="2">
        <v>0.0801580606060606</v>
      </c>
      <c r="C745" s="1" t="s">
        <v>110</v>
      </c>
      <c r="D745" s="2">
        <v>0.898085980559174</v>
      </c>
      <c r="E745" s="2">
        <v>0.089254327916523</v>
      </c>
      <c r="F745" s="1" t="s">
        <v>399</v>
      </c>
      <c r="G745" s="2">
        <v>-1.69456803813426</v>
      </c>
      <c r="H745" s="2">
        <v>3.02474082288056</v>
      </c>
      <c r="I745" s="1">
        <v>1</v>
      </c>
    </row>
    <row r="746" spans="1:9">
      <c r="A746" s="1" t="s">
        <v>137</v>
      </c>
      <c r="B746" s="2">
        <v>0.0601185454545454</v>
      </c>
      <c r="C746" s="1" t="s">
        <v>110</v>
      </c>
      <c r="D746" s="2">
        <v>0.898085980559174</v>
      </c>
      <c r="E746" s="2">
        <v>0.0669407459373922</v>
      </c>
      <c r="F746" s="1" t="s">
        <v>399</v>
      </c>
      <c r="G746" s="2">
        <v>-1.69456803813426</v>
      </c>
      <c r="H746" s="2">
        <v>3.02474082288056</v>
      </c>
      <c r="I746" s="1">
        <v>1</v>
      </c>
    </row>
    <row r="747" spans="1:9">
      <c r="A747" s="1" t="s">
        <v>137</v>
      </c>
      <c r="B747" s="2">
        <v>0.0586574545454545</v>
      </c>
      <c r="C747" s="1" t="s">
        <v>110</v>
      </c>
      <c r="D747" s="2">
        <v>0.898085980559174</v>
      </c>
      <c r="E747" s="2">
        <v>0.0653138516970643</v>
      </c>
      <c r="F747" s="1" t="s">
        <v>399</v>
      </c>
      <c r="G747" s="2">
        <v>-1.69456803813426</v>
      </c>
      <c r="H747" s="2">
        <v>3.02474082288056</v>
      </c>
      <c r="I747" s="1">
        <v>1</v>
      </c>
    </row>
    <row r="748" spans="1:9">
      <c r="A748" s="1" t="s">
        <v>137</v>
      </c>
      <c r="B748" s="2">
        <v>0.0699541818181818</v>
      </c>
      <c r="C748" s="1" t="s">
        <v>110</v>
      </c>
      <c r="D748" s="2">
        <v>0.898085980559174</v>
      </c>
      <c r="E748" s="2">
        <v>0.0778925217991114</v>
      </c>
      <c r="F748" s="1" t="s">
        <v>399</v>
      </c>
      <c r="G748" s="2">
        <v>-1.69456803813426</v>
      </c>
      <c r="H748" s="2">
        <v>3.02474082288056</v>
      </c>
      <c r="I748" s="1">
        <v>1</v>
      </c>
    </row>
    <row r="749" spans="1:9">
      <c r="A749" s="1" t="s">
        <v>137</v>
      </c>
      <c r="B749" s="2">
        <v>0.0790652121212121</v>
      </c>
      <c r="C749" s="1" t="s">
        <v>110</v>
      </c>
      <c r="D749" s="2">
        <v>0.898085980559174</v>
      </c>
      <c r="E749" s="2">
        <v>0.0880374639318875</v>
      </c>
      <c r="F749" s="1" t="s">
        <v>399</v>
      </c>
      <c r="G749" s="2">
        <v>-1.69456803813426</v>
      </c>
      <c r="H749" s="2">
        <v>3.02474082288056</v>
      </c>
      <c r="I749" s="1">
        <v>1</v>
      </c>
    </row>
    <row r="750" spans="1:9">
      <c r="A750" s="1" t="s">
        <v>137</v>
      </c>
      <c r="B750" s="2">
        <v>0.0783346666666667</v>
      </c>
      <c r="C750" s="1" t="s">
        <v>110</v>
      </c>
      <c r="D750" s="2">
        <v>0.898085980559174</v>
      </c>
      <c r="E750" s="2">
        <v>0.0872240168117236</v>
      </c>
      <c r="F750" s="1" t="s">
        <v>399</v>
      </c>
      <c r="G750" s="2">
        <v>-1.69456803813426</v>
      </c>
      <c r="H750" s="2">
        <v>3.02474082288056</v>
      </c>
      <c r="I750" s="1">
        <v>1</v>
      </c>
    </row>
    <row r="751" spans="1:9">
      <c r="A751" s="1" t="s">
        <v>137</v>
      </c>
      <c r="B751" s="2">
        <v>0.0728704242424242</v>
      </c>
      <c r="C751" s="1" t="s">
        <v>110</v>
      </c>
      <c r="D751" s="2">
        <v>0.898085980559174</v>
      </c>
      <c r="E751" s="2">
        <v>0.0811396968885462</v>
      </c>
      <c r="F751" s="1" t="s">
        <v>399</v>
      </c>
      <c r="G751" s="2">
        <v>-1.69456803813426</v>
      </c>
      <c r="H751" s="2">
        <v>3.02474082288056</v>
      </c>
      <c r="I751" s="1">
        <v>1</v>
      </c>
    </row>
    <row r="752" spans="1:9">
      <c r="A752" s="1" t="s">
        <v>137</v>
      </c>
      <c r="B752" s="2">
        <v>0.0816132121212121</v>
      </c>
      <c r="C752" s="1" t="s">
        <v>110</v>
      </c>
      <c r="D752" s="2">
        <v>0.898085980559174</v>
      </c>
      <c r="E752" s="2">
        <v>0.09087460876563</v>
      </c>
      <c r="F752" s="1" t="s">
        <v>399</v>
      </c>
      <c r="G752" s="2">
        <v>-1.69456803813426</v>
      </c>
      <c r="H752" s="2">
        <v>3.02474082288056</v>
      </c>
      <c r="I752" s="1">
        <v>1</v>
      </c>
    </row>
    <row r="753" spans="1:9">
      <c r="A753" s="1" t="s">
        <v>137</v>
      </c>
      <c r="B753" s="2">
        <v>0.0907242424242424</v>
      </c>
      <c r="C753" s="1" t="s">
        <v>110</v>
      </c>
      <c r="D753" s="2">
        <v>0.898085980559174</v>
      </c>
      <c r="E753" s="2">
        <v>0.101019550898406</v>
      </c>
      <c r="F753" s="1" t="s">
        <v>399</v>
      </c>
      <c r="G753" s="2">
        <v>-1.69456803813426</v>
      </c>
      <c r="H753" s="2">
        <v>3.02474082288056</v>
      </c>
      <c r="I753" s="1">
        <v>1</v>
      </c>
    </row>
    <row r="754" spans="1:9">
      <c r="A754" s="1" t="s">
        <v>137</v>
      </c>
      <c r="B754" s="2">
        <v>0.0947273939393939</v>
      </c>
      <c r="C754" s="1" t="s">
        <v>110</v>
      </c>
      <c r="D754" s="2">
        <v>0.898085980559174</v>
      </c>
      <c r="E754" s="2">
        <v>0.105476976581256</v>
      </c>
      <c r="F754" s="1" t="s">
        <v>399</v>
      </c>
      <c r="G754" s="2">
        <v>-1.69456803813426</v>
      </c>
      <c r="H754" s="2">
        <v>3.02474082288056</v>
      </c>
      <c r="I754" s="1">
        <v>1</v>
      </c>
    </row>
    <row r="755" spans="1:9">
      <c r="A755" s="1" t="s">
        <v>137</v>
      </c>
      <c r="B755" s="2">
        <v>0.101290424242424</v>
      </c>
      <c r="C755" s="1" t="s">
        <v>110</v>
      </c>
      <c r="D755" s="2">
        <v>0.898085980559174</v>
      </c>
      <c r="E755" s="2">
        <v>0.112784773880289</v>
      </c>
      <c r="F755" s="1" t="s">
        <v>399</v>
      </c>
      <c r="G755" s="2">
        <v>-1.69456803813426</v>
      </c>
      <c r="H755" s="2">
        <v>3.02474082288056</v>
      </c>
      <c r="I755" s="1">
        <v>1</v>
      </c>
    </row>
    <row r="756" spans="1:9">
      <c r="A756" s="1" t="s">
        <v>137</v>
      </c>
      <c r="B756" s="2">
        <v>0.0940027878787879</v>
      </c>
      <c r="C756" s="1" t="s">
        <v>110</v>
      </c>
      <c r="D756" s="2">
        <v>0.898085980559174</v>
      </c>
      <c r="E756" s="2">
        <v>0.104670142852313</v>
      </c>
      <c r="F756" s="1" t="s">
        <v>399</v>
      </c>
      <c r="G756" s="2">
        <v>-1.69456803813426</v>
      </c>
      <c r="H756" s="2">
        <v>3.02474082288056</v>
      </c>
      <c r="I756" s="1">
        <v>1</v>
      </c>
    </row>
    <row r="757" spans="1:9">
      <c r="A757" s="1" t="s">
        <v>137</v>
      </c>
      <c r="B757" s="2">
        <v>0.96</v>
      </c>
      <c r="C757" s="1" t="s">
        <v>114</v>
      </c>
      <c r="D757" s="2">
        <v>0.898085980559174</v>
      </c>
      <c r="E757" s="2">
        <v>0.96</v>
      </c>
      <c r="F757" s="1" t="s">
        <v>399</v>
      </c>
      <c r="G757" s="2">
        <v>-1.69456803813426</v>
      </c>
      <c r="H757" s="2">
        <v>3.02474082288056</v>
      </c>
      <c r="I757" s="1">
        <v>1</v>
      </c>
    </row>
    <row r="758" spans="1:9">
      <c r="A758" s="1" t="s">
        <v>137</v>
      </c>
      <c r="B758" s="2">
        <v>1.3</v>
      </c>
      <c r="C758" s="1" t="s">
        <v>114</v>
      </c>
      <c r="D758" s="2">
        <v>0.898085980559174</v>
      </c>
      <c r="E758" s="2">
        <v>1.3</v>
      </c>
      <c r="F758" s="1" t="s">
        <v>399</v>
      </c>
      <c r="G758" s="2">
        <v>-1.69456803813426</v>
      </c>
      <c r="H758" s="2">
        <v>3.02474082288056</v>
      </c>
      <c r="I758" s="1">
        <v>1</v>
      </c>
    </row>
    <row r="759" spans="1:9">
      <c r="A759" s="1" t="s">
        <v>137</v>
      </c>
      <c r="B759" s="2">
        <v>0.432978767123288</v>
      </c>
      <c r="C759" s="1" t="s">
        <v>114</v>
      </c>
      <c r="D759" s="2">
        <v>0.898085980559174</v>
      </c>
      <c r="E759" s="2">
        <v>0.432978767123288</v>
      </c>
      <c r="F759" s="1" t="s">
        <v>399</v>
      </c>
      <c r="G759" s="2">
        <v>-1.69456803813426</v>
      </c>
      <c r="H759" s="2">
        <v>3.02474082288056</v>
      </c>
      <c r="I759" s="1">
        <v>1</v>
      </c>
    </row>
    <row r="760" spans="1:9">
      <c r="A760" s="1" t="s">
        <v>137</v>
      </c>
      <c r="B760" s="2">
        <v>4.438</v>
      </c>
      <c r="C760" s="1" t="s">
        <v>110</v>
      </c>
      <c r="D760" s="2">
        <v>0.898085980559174</v>
      </c>
      <c r="E760" s="2">
        <v>4.94162039723276</v>
      </c>
      <c r="F760" s="1" t="s">
        <v>400</v>
      </c>
      <c r="G760" s="2">
        <v>-1.69456803813426</v>
      </c>
      <c r="H760" s="2">
        <v>3.02474082288056</v>
      </c>
      <c r="I760" s="1">
        <v>1</v>
      </c>
    </row>
    <row r="761" spans="1:9">
      <c r="A761" s="1" t="s">
        <v>137</v>
      </c>
      <c r="B761" s="2">
        <v>6.181</v>
      </c>
      <c r="C761" s="1" t="s">
        <v>110</v>
      </c>
      <c r="D761" s="2">
        <v>0.898085980559174</v>
      </c>
      <c r="E761" s="2">
        <v>6.88241452800714</v>
      </c>
      <c r="F761" s="1" t="s">
        <v>400</v>
      </c>
      <c r="G761" s="2">
        <v>-1.69456803813426</v>
      </c>
      <c r="H761" s="2">
        <v>3.02474082288056</v>
      </c>
      <c r="I761" s="1">
        <v>1</v>
      </c>
    </row>
    <row r="762" spans="1:9">
      <c r="A762" s="1" t="s">
        <v>137</v>
      </c>
      <c r="B762" s="2">
        <v>0.048</v>
      </c>
      <c r="C762" s="1" t="s">
        <v>110</v>
      </c>
      <c r="D762" s="2">
        <v>0.898085980559174</v>
      </c>
      <c r="E762" s="2">
        <v>0.0534469984378487</v>
      </c>
      <c r="F762" s="1" t="s">
        <v>399</v>
      </c>
      <c r="G762" s="2">
        <v>-1.69456803813426</v>
      </c>
      <c r="H762" s="2">
        <v>3.02474082288056</v>
      </c>
      <c r="I762" s="1">
        <v>1</v>
      </c>
    </row>
    <row r="763" spans="1:9">
      <c r="A763" s="1" t="s">
        <v>137</v>
      </c>
      <c r="B763" s="2">
        <v>0.034</v>
      </c>
      <c r="C763" s="1" t="s">
        <v>110</v>
      </c>
      <c r="D763" s="2">
        <v>0.898085980559174</v>
      </c>
      <c r="E763" s="2">
        <v>0.0378582905601428</v>
      </c>
      <c r="F763" s="1" t="s">
        <v>399</v>
      </c>
      <c r="G763" s="2">
        <v>-1.69456803813426</v>
      </c>
      <c r="H763" s="2">
        <v>3.02474082288056</v>
      </c>
      <c r="I763" s="1">
        <v>1</v>
      </c>
    </row>
    <row r="764" spans="1:9">
      <c r="A764" s="1" t="s">
        <v>137</v>
      </c>
      <c r="B764" s="2">
        <v>0.018</v>
      </c>
      <c r="C764" s="1" t="s">
        <v>110</v>
      </c>
      <c r="D764" s="2">
        <v>0.898085980559174</v>
      </c>
      <c r="E764" s="2">
        <v>0.0200426244141933</v>
      </c>
      <c r="F764" s="1" t="s">
        <v>399</v>
      </c>
      <c r="G764" s="2">
        <v>-1.69456803813426</v>
      </c>
      <c r="H764" s="2">
        <v>3.02474082288056</v>
      </c>
      <c r="I764" s="1">
        <v>1</v>
      </c>
    </row>
    <row r="765" spans="1:9">
      <c r="A765" s="1" t="s">
        <v>137</v>
      </c>
      <c r="B765" s="2">
        <v>0.129</v>
      </c>
      <c r="C765" s="1" t="s">
        <v>110</v>
      </c>
      <c r="D765" s="2">
        <v>0.898085980559174</v>
      </c>
      <c r="E765" s="2">
        <v>0.143638808301718</v>
      </c>
      <c r="F765" s="1" t="s">
        <v>399</v>
      </c>
      <c r="G765" s="2">
        <v>-1.69456803813426</v>
      </c>
      <c r="H765" s="2">
        <v>3.02474082288056</v>
      </c>
      <c r="I765" s="1">
        <v>1</v>
      </c>
    </row>
    <row r="766" spans="1:9">
      <c r="A766" s="1" t="s">
        <v>137</v>
      </c>
      <c r="B766" s="2">
        <v>1.18721590909091</v>
      </c>
      <c r="C766" s="1" t="s">
        <v>114</v>
      </c>
      <c r="D766" s="2">
        <v>0.898085980559174</v>
      </c>
      <c r="E766" s="2">
        <v>1.18721590909091</v>
      </c>
      <c r="F766" s="1" t="s">
        <v>399</v>
      </c>
      <c r="G766" s="2">
        <v>-1.69456803813426</v>
      </c>
      <c r="H766" s="2">
        <v>3.02474082288056</v>
      </c>
    </row>
    <row r="767" spans="1:9">
      <c r="A767" s="1" t="s">
        <v>137</v>
      </c>
      <c r="B767" s="2">
        <v>1.20322153574581</v>
      </c>
      <c r="C767" s="1" t="s">
        <v>114</v>
      </c>
      <c r="D767" s="2">
        <v>0.898085980559174</v>
      </c>
      <c r="E767" s="2">
        <v>1.20322153574581</v>
      </c>
      <c r="F767" s="1" t="s">
        <v>399</v>
      </c>
      <c r="G767" s="2">
        <v>-1.69456803813426</v>
      </c>
      <c r="H767" s="2">
        <v>3.02474082288056</v>
      </c>
    </row>
    <row r="768" spans="1:9">
      <c r="A768" s="1" t="s">
        <v>137</v>
      </c>
      <c r="B768" s="2">
        <v>1.39518900343643</v>
      </c>
      <c r="C768" s="1" t="s">
        <v>114</v>
      </c>
      <c r="D768" s="2">
        <v>0.898085980559174</v>
      </c>
      <c r="E768" s="2">
        <v>1.39518900343643</v>
      </c>
      <c r="F768" s="1" t="s">
        <v>399</v>
      </c>
      <c r="G768" s="2">
        <v>-1.69456803813426</v>
      </c>
      <c r="H768" s="2">
        <v>3.02474082288056</v>
      </c>
    </row>
    <row r="769" spans="1:8">
      <c r="A769" s="1" t="s">
        <v>137</v>
      </c>
      <c r="B769" s="2">
        <v>0.556688839615669</v>
      </c>
      <c r="C769" s="1" t="s">
        <v>114</v>
      </c>
      <c r="D769" s="2">
        <v>0.898085980559174</v>
      </c>
      <c r="E769" s="2">
        <v>0.556688839615669</v>
      </c>
      <c r="F769" s="1" t="s">
        <v>399</v>
      </c>
      <c r="G769" s="2">
        <v>-1.69456803813426</v>
      </c>
      <c r="H769" s="2">
        <v>3.02474082288056</v>
      </c>
    </row>
    <row r="770" spans="1:8">
      <c r="A770" s="1" t="s">
        <v>137</v>
      </c>
      <c r="B770" s="2">
        <v>0.370738636363636</v>
      </c>
      <c r="C770" s="1" t="s">
        <v>114</v>
      </c>
      <c r="D770" s="2">
        <v>0.898085980559174</v>
      </c>
      <c r="E770" s="2">
        <v>0.370738636363636</v>
      </c>
      <c r="F770" s="1" t="s">
        <v>399</v>
      </c>
      <c r="G770" s="2">
        <v>-1.69456803813426</v>
      </c>
      <c r="H770" s="2">
        <v>3.02474082288056</v>
      </c>
    </row>
    <row r="771" spans="1:8">
      <c r="A771" s="1" t="s">
        <v>137</v>
      </c>
      <c r="B771" s="2">
        <v>2.35779343529816</v>
      </c>
      <c r="C771" s="1" t="s">
        <v>114</v>
      </c>
      <c r="D771" s="2">
        <v>0.898085980559174</v>
      </c>
      <c r="E771" s="2">
        <v>2.35779343529816</v>
      </c>
      <c r="F771" s="1" t="s">
        <v>399</v>
      </c>
      <c r="G771" s="2">
        <v>-1.69456803813426</v>
      </c>
      <c r="H771" s="2">
        <v>3.02474082288056</v>
      </c>
    </row>
    <row r="772" spans="1:8">
      <c r="A772" s="1" t="s">
        <v>137</v>
      </c>
      <c r="B772" s="2">
        <v>0.547797563261481</v>
      </c>
      <c r="C772" s="1" t="s">
        <v>114</v>
      </c>
      <c r="D772" s="2">
        <v>0.898085980559174</v>
      </c>
      <c r="E772" s="2">
        <v>0.547797563261481</v>
      </c>
      <c r="F772" s="1" t="s">
        <v>399</v>
      </c>
      <c r="G772" s="2">
        <v>-1.69456803813426</v>
      </c>
      <c r="H772" s="2">
        <v>3.02474082288056</v>
      </c>
    </row>
    <row r="773" spans="1:8">
      <c r="A773" s="1" t="s">
        <v>137</v>
      </c>
      <c r="B773" s="2">
        <v>0.60674671240709</v>
      </c>
      <c r="C773" s="1" t="s">
        <v>114</v>
      </c>
      <c r="D773" s="2">
        <v>0.898085980559174</v>
      </c>
      <c r="E773" s="2">
        <v>0.60674671240709</v>
      </c>
      <c r="F773" s="1" t="s">
        <v>399</v>
      </c>
      <c r="G773" s="2">
        <v>-1.69456803813426</v>
      </c>
      <c r="H773" s="2">
        <v>3.02474082288056</v>
      </c>
    </row>
    <row r="774" spans="1:8">
      <c r="A774" s="1" t="s">
        <v>137</v>
      </c>
      <c r="B774" s="2">
        <v>1.1280090625885</v>
      </c>
      <c r="C774" s="1" t="s">
        <v>114</v>
      </c>
      <c r="D774" s="2">
        <v>0.898085980559174</v>
      </c>
      <c r="E774" s="2">
        <v>1.1280090625885</v>
      </c>
      <c r="F774" s="1" t="s">
        <v>399</v>
      </c>
      <c r="G774" s="2">
        <v>-1.69456803813426</v>
      </c>
      <c r="H774" s="2">
        <v>3.02474082288056</v>
      </c>
    </row>
    <row r="775" spans="1:8">
      <c r="A775" s="1" t="s">
        <v>137</v>
      </c>
      <c r="B775" s="2">
        <v>2.44251336898396</v>
      </c>
      <c r="C775" s="1" t="s">
        <v>114</v>
      </c>
      <c r="D775" s="2">
        <v>0.898085980559174</v>
      </c>
      <c r="E775" s="2">
        <v>2.44251336898396</v>
      </c>
      <c r="F775" s="1" t="s">
        <v>399</v>
      </c>
      <c r="G775" s="2">
        <v>-1.69456803813426</v>
      </c>
      <c r="H775" s="2">
        <v>3.02474082288056</v>
      </c>
    </row>
    <row r="776" spans="1:8">
      <c r="A776" s="1" t="s">
        <v>137</v>
      </c>
      <c r="B776" s="2">
        <v>2.41640178003814</v>
      </c>
      <c r="C776" s="1" t="s">
        <v>114</v>
      </c>
      <c r="D776" s="2">
        <v>0.898085980559174</v>
      </c>
      <c r="E776" s="2">
        <v>2.41640178003814</v>
      </c>
      <c r="F776" s="1" t="s">
        <v>399</v>
      </c>
      <c r="G776" s="2">
        <v>-1.69456803813426</v>
      </c>
      <c r="H776" s="2">
        <v>3.02474082288056</v>
      </c>
    </row>
    <row r="777" spans="1:8">
      <c r="A777" s="1" t="s">
        <v>137</v>
      </c>
      <c r="B777" s="2">
        <v>0.814956011730205</v>
      </c>
      <c r="C777" s="1" t="s">
        <v>114</v>
      </c>
      <c r="D777" s="2">
        <v>0.898085980559174</v>
      </c>
      <c r="E777" s="2">
        <v>0.814956011730205</v>
      </c>
      <c r="F777" s="1" t="s">
        <v>399</v>
      </c>
      <c r="G777" s="2">
        <v>-1.69456803813426</v>
      </c>
      <c r="H777" s="2">
        <v>3.02474082288056</v>
      </c>
    </row>
    <row r="778" spans="1:8">
      <c r="A778" s="1" t="s">
        <v>137</v>
      </c>
      <c r="B778" s="2">
        <v>0.12</v>
      </c>
      <c r="C778" s="1" t="s">
        <v>110</v>
      </c>
      <c r="D778" s="2">
        <v>0.898085980559174</v>
      </c>
      <c r="E778" s="2">
        <v>0.133617496094622</v>
      </c>
      <c r="F778" s="1" t="s">
        <v>399</v>
      </c>
      <c r="G778" s="2">
        <v>-1.69456803813426</v>
      </c>
      <c r="H778" s="2">
        <v>3.02474082288056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Dictionary</vt:lpstr>
      <vt:lpstr>CH4_EF</vt:lpstr>
      <vt:lpstr>N2O_EF</vt:lpstr>
      <vt:lpstr>SA2050</vt:lpstr>
      <vt:lpstr>NH4_TN_ratio</vt:lpstr>
      <vt:lpstr>CH4_IQR</vt:lpstr>
      <vt:lpstr>N2O_IQR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Qixiang Zhu</dc:creator>
  <cp:lastModifiedBy>z5635852</cp:lastModifiedBy>
  <dcterms:created xsi:type="dcterms:W3CDTF">2023-05-12T11:15:00Z</dcterms:created>
  <dcterms:modified xsi:type="dcterms:W3CDTF">2026-09-20T11:36:49Z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2052-12.1.0.26885</vt:lpwstr>
  </property>
  <property fmtid="{D5CDD505-2E9C-101B-9397-08002B2CF9AE}" pid="3" name="ICV">
    <vt:lpwstr>9A76B9F946324F5B84E832B8406B70EE_12</vt:lpwstr>
  </property>
  <property fmtid="{D5CDD505-2E9C-101B-9397-08002B2CF9AE}" pid="4" name="CalculationRule">
    <vt:i4>0</vt:i4>
  </property>
</Properties>
</file>